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0460" windowHeight="7560"/>
  </bookViews>
  <sheets>
    <sheet name="Raw_Funnel_Data" sheetId="1" r:id="rId1"/>
    <sheet name="Funnel_Definitions" sheetId="2" r:id="rId2"/>
  </sheets>
  <calcPr calcId="152511"/>
</workbook>
</file>

<file path=xl/calcChain.xml><?xml version="1.0" encoding="utf-8"?>
<calcChain xmlns="http://schemas.openxmlformats.org/spreadsheetml/2006/main">
  <c r="M22" i="1" l="1"/>
  <c r="M21" i="1"/>
  <c r="M20" i="1"/>
  <c r="M17" i="1"/>
  <c r="M16" i="1"/>
  <c r="M15" i="1"/>
  <c r="M14" i="1"/>
  <c r="M11" i="1"/>
  <c r="M10" i="1"/>
  <c r="M9" i="1"/>
  <c r="M8" i="1"/>
  <c r="M6" i="1"/>
  <c r="M5" i="1"/>
  <c r="M4" i="1"/>
  <c r="M3" i="1"/>
</calcChain>
</file>

<file path=xl/sharedStrings.xml><?xml version="1.0" encoding="utf-8"?>
<sst xmlns="http://schemas.openxmlformats.org/spreadsheetml/2006/main" count="1242" uniqueCount="47">
  <si>
    <t>Date</t>
  </si>
  <si>
    <t>Traffic Source</t>
  </si>
  <si>
    <t>Device</t>
  </si>
  <si>
    <t>Visits</t>
  </si>
  <si>
    <t>Product Views</t>
  </si>
  <si>
    <t>Add to Cart</t>
  </si>
  <si>
    <t>Purchases</t>
  </si>
  <si>
    <t>Visit to Product View Rate</t>
  </si>
  <si>
    <t>Product View to Cart Rate</t>
  </si>
  <si>
    <t>Cart to Purchase Rate</t>
  </si>
  <si>
    <t>Overall Purchase Conversion Rate</t>
  </si>
  <si>
    <t>Paid Search</t>
  </si>
  <si>
    <t>Mobile</t>
  </si>
  <si>
    <t>Email</t>
  </si>
  <si>
    <t>Referral</t>
  </si>
  <si>
    <t>Social</t>
  </si>
  <si>
    <t>Organic Search</t>
  </si>
  <si>
    <t>Direct</t>
  </si>
  <si>
    <t>Desktop</t>
  </si>
  <si>
    <t>Tablet</t>
  </si>
  <si>
    <t>Stage</t>
  </si>
  <si>
    <t>Definition</t>
  </si>
  <si>
    <t>Visit</t>
  </si>
  <si>
    <t>Users who visited the website</t>
  </si>
  <si>
    <t>Product View</t>
  </si>
  <si>
    <t>Visitors who viewed a product</t>
  </si>
  <si>
    <t>Visitors who added a product to cart</t>
  </si>
  <si>
    <t>Purchase</t>
  </si>
  <si>
    <t>Visitors who completed a purchase</t>
  </si>
  <si>
    <t>Unknown</t>
  </si>
  <si>
    <t>Unkown</t>
  </si>
  <si>
    <t>Funnel KPI</t>
  </si>
  <si>
    <t>Total Visits</t>
  </si>
  <si>
    <t>Values</t>
  </si>
  <si>
    <t>Total Product View</t>
  </si>
  <si>
    <t>Total Purchase</t>
  </si>
  <si>
    <t>Vist-Product  view Rate</t>
  </si>
  <si>
    <t>Add to Cart -Purchase Rate</t>
  </si>
  <si>
    <t>Product View-Add to Cart Rate</t>
  </si>
  <si>
    <t>Total Add to Cart</t>
  </si>
  <si>
    <t>Funnel Stage</t>
  </si>
  <si>
    <t>Users</t>
  </si>
  <si>
    <t>Drop-off Stage</t>
  </si>
  <si>
    <t>Drop-off Rate</t>
  </si>
  <si>
    <t>Product View - Add to Cart</t>
  </si>
  <si>
    <t>Visit - Product View</t>
  </si>
  <si>
    <t>Add to Cart -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</si>
</sst>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yyyy\-mm\-dd\ hh:mm:ss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 vertical="top"/>
    </xf>
    <xf numFmtId="165" fontId="0" fillId="0" borderId="0" xfId="1" applyNumberFormat="1" applyFont="1"/>
    <xf numFmtId="10" fontId="0" fillId="0" borderId="0" xfId="2" applyNumberFormat="1" applyFont="1"/>
    <xf numFmtId="165" fontId="0" fillId="0" borderId="0" xfId="0" applyNumberFormat="1"/>
    <xf numFmtId="10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15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yyyy\-mm\-dd\ hh:mm:ss"/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E-commerce Conversion Funnelers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Raw_Funnel_Data!$M$13</c:f>
              <c:strCache>
                <c:ptCount val="1"/>
                <c:pt idx="0">
                  <c:v>Users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Raw_Funnel_Data!$L$14:$L$17</c:f>
              <c:strCache>
                <c:ptCount val="4"/>
                <c:pt idx="0">
                  <c:v>Visits</c:v>
                </c:pt>
                <c:pt idx="1">
                  <c:v>Product Views</c:v>
                </c:pt>
                <c:pt idx="2">
                  <c:v>Add to Cart</c:v>
                </c:pt>
                <c:pt idx="3">
                  <c:v>Purchases</c:v>
                </c:pt>
              </c:strCache>
            </c:strRef>
          </c:cat>
          <c:val>
            <c:numRef>
              <c:f>Raw_Funnel_Data!$M$14:$M$17</c:f>
              <c:numCache>
                <c:formatCode>_(* #,##0_);_(* \(#,##0\);_(* "-"??_);_(@_)</c:formatCode>
                <c:ptCount val="4"/>
                <c:pt idx="0">
                  <c:v>218971</c:v>
                </c:pt>
                <c:pt idx="1">
                  <c:v>149537</c:v>
                </c:pt>
                <c:pt idx="2">
                  <c:v>44358</c:v>
                </c:pt>
                <c:pt idx="3">
                  <c:v>20074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18246616"/>
        <c:axId val="318247792"/>
      </c:barChart>
      <c:catAx>
        <c:axId val="318246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247792"/>
        <c:crosses val="autoZero"/>
        <c:auto val="1"/>
        <c:lblAlgn val="ctr"/>
        <c:lblOffset val="100"/>
        <c:noMultiLvlLbl val="0"/>
      </c:catAx>
      <c:valAx>
        <c:axId val="31824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246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8</xdr:row>
      <xdr:rowOff>176212</xdr:rowOff>
    </xdr:from>
    <xdr:to>
      <xdr:col>21</xdr:col>
      <xdr:colOff>304800</xdr:colOff>
      <xdr:row>23</xdr:row>
      <xdr:rowOff>61912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commerceFunnel" displayName="EcommerceFunnel" ref="A1:K601" totalsRowShown="0" headerRowDxfId="14" dataDxfId="12" headerRowBorderDxfId="13" tableBorderDxfId="11">
  <autoFilter ref="A1:K601"/>
  <tableColumns count="11">
    <tableColumn id="1" name="Date" dataDxfId="10"/>
    <tableColumn id="2" name="Traffic Source" dataDxfId="9"/>
    <tableColumn id="3" name="Device" dataDxfId="8"/>
    <tableColumn id="4" name="Visits" dataDxfId="7"/>
    <tableColumn id="5" name="Product Views" dataDxfId="6"/>
    <tableColumn id="6" name="Add to Cart" dataDxfId="5"/>
    <tableColumn id="7" name="Purchases" dataDxfId="4"/>
    <tableColumn id="8" name="Visit to Product View Rate" dataDxfId="3"/>
    <tableColumn id="9" name="Product View to Cart Rate" dataDxfId="2"/>
    <tableColumn id="10" name="Cart to Purchase Rate" dataDxfId="1"/>
    <tableColumn id="11" name="Overall Purchase Conversion R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6"/>
  <sheetViews>
    <sheetView tabSelected="1" workbookViewId="0">
      <selection activeCell="L26" sqref="L26"/>
    </sheetView>
  </sheetViews>
  <sheetFormatPr defaultRowHeight="15" x14ac:dyDescent="0.25"/>
  <cols>
    <col min="1" max="1" width="21" customWidth="1"/>
    <col min="2" max="2" width="16.42578125" customWidth="1"/>
    <col min="5" max="5" width="15.85546875" customWidth="1"/>
    <col min="6" max="6" width="13.42578125" customWidth="1"/>
    <col min="7" max="7" width="16.28515625" customWidth="1"/>
    <col min="8" max="8" width="26.28515625" customWidth="1"/>
    <col min="9" max="9" width="25.7109375" customWidth="1"/>
    <col min="10" max="10" width="21.85546875" customWidth="1"/>
    <col min="11" max="11" width="32.85546875" customWidth="1"/>
    <col min="12" max="12" width="30.42578125" customWidth="1"/>
    <col min="13" max="13" width="11.5703125" bestFit="1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3" x14ac:dyDescent="0.25">
      <c r="A2" s="2">
        <v>45658</v>
      </c>
      <c r="B2" s="3" t="s">
        <v>11</v>
      </c>
      <c r="C2" s="3" t="s">
        <v>12</v>
      </c>
      <c r="D2" s="3">
        <v>460</v>
      </c>
      <c r="E2" s="3">
        <v>275</v>
      </c>
      <c r="F2" s="3">
        <v>86</v>
      </c>
      <c r="G2" s="3">
        <v>28</v>
      </c>
      <c r="H2" s="3">
        <v>0.59782608695652173</v>
      </c>
      <c r="I2" s="3">
        <v>0.31272727272727269</v>
      </c>
      <c r="J2" s="3">
        <v>0.32558139534883718</v>
      </c>
      <c r="K2" s="3">
        <v>6.0869565217391307E-2</v>
      </c>
      <c r="L2" t="s">
        <v>31</v>
      </c>
      <c r="M2" t="s">
        <v>33</v>
      </c>
    </row>
    <row r="3" spans="1:13" x14ac:dyDescent="0.25">
      <c r="A3" s="2">
        <v>45658.300500834717</v>
      </c>
      <c r="B3" s="3" t="s">
        <v>13</v>
      </c>
      <c r="C3" s="3" t="s">
        <v>12</v>
      </c>
      <c r="D3" s="3">
        <v>539</v>
      </c>
      <c r="E3" s="3">
        <v>352</v>
      </c>
      <c r="F3" s="3">
        <v>85</v>
      </c>
      <c r="G3" s="3">
        <v>40</v>
      </c>
      <c r="H3" s="3">
        <v>0.65306122448979587</v>
      </c>
      <c r="I3" s="3">
        <v>0.24147727272727271</v>
      </c>
      <c r="J3" s="3">
        <v>0.47058823529411759</v>
      </c>
      <c r="K3" s="3">
        <v>7.4211502782931357E-2</v>
      </c>
      <c r="L3" t="s">
        <v>32</v>
      </c>
      <c r="M3" s="5">
        <f>SUM(EcommerceFunnel[Visits])</f>
        <v>218971</v>
      </c>
    </row>
    <row r="4" spans="1:13" x14ac:dyDescent="0.25">
      <c r="A4" s="2">
        <v>45658.601001669442</v>
      </c>
      <c r="B4" s="3" t="s">
        <v>14</v>
      </c>
      <c r="C4" s="3" t="s">
        <v>12</v>
      </c>
      <c r="D4" s="3">
        <v>86</v>
      </c>
      <c r="E4" s="3">
        <v>61</v>
      </c>
      <c r="F4" s="3">
        <v>14</v>
      </c>
      <c r="G4" s="3">
        <v>9</v>
      </c>
      <c r="H4" s="3">
        <v>0.70930232558139539</v>
      </c>
      <c r="I4" s="3">
        <v>0.22950819672131151</v>
      </c>
      <c r="J4" s="3">
        <v>0.6428571428571429</v>
      </c>
      <c r="K4" s="3">
        <v>0.10465116279069769</v>
      </c>
      <c r="L4" t="s">
        <v>34</v>
      </c>
      <c r="M4" s="5">
        <f>SUM(EcommerceFunnel[Product Views])</f>
        <v>149537</v>
      </c>
    </row>
    <row r="5" spans="1:13" x14ac:dyDescent="0.25">
      <c r="A5" s="2">
        <v>45658.901502504174</v>
      </c>
      <c r="B5" s="3" t="s">
        <v>15</v>
      </c>
      <c r="C5" s="3" t="s">
        <v>12</v>
      </c>
      <c r="D5" s="3">
        <v>108</v>
      </c>
      <c r="E5" s="3">
        <v>69</v>
      </c>
      <c r="F5" s="3">
        <v>18</v>
      </c>
      <c r="G5" s="3">
        <v>12</v>
      </c>
      <c r="H5" s="3">
        <v>0.63888888888888884</v>
      </c>
      <c r="I5" s="3">
        <v>0.2608695652173913</v>
      </c>
      <c r="J5" s="3">
        <v>0.66666666666666663</v>
      </c>
      <c r="K5" s="3">
        <v>0.1111111111111111</v>
      </c>
      <c r="L5" t="s">
        <v>39</v>
      </c>
      <c r="M5" s="5">
        <f>SUM(EcommerceFunnel[Add to Cart])</f>
        <v>44358</v>
      </c>
    </row>
    <row r="6" spans="1:13" x14ac:dyDescent="0.25">
      <c r="A6" s="2">
        <v>45659.202003338891</v>
      </c>
      <c r="B6" s="3" t="s">
        <v>16</v>
      </c>
      <c r="C6" s="3" t="s">
        <v>12</v>
      </c>
      <c r="D6" s="3">
        <v>112</v>
      </c>
      <c r="E6" s="3">
        <v>69</v>
      </c>
      <c r="F6" s="3">
        <v>29</v>
      </c>
      <c r="G6" s="3">
        <v>14</v>
      </c>
      <c r="H6" s="3">
        <v>0.6160714285714286</v>
      </c>
      <c r="I6" s="3">
        <v>0.42028985507246369</v>
      </c>
      <c r="J6" s="3">
        <v>0.48275862068965519</v>
      </c>
      <c r="K6" s="3">
        <v>0.125</v>
      </c>
      <c r="L6" t="s">
        <v>35</v>
      </c>
      <c r="M6" s="5">
        <f>SUM(EcommerceFunnel[Purchases])</f>
        <v>20074</v>
      </c>
    </row>
    <row r="7" spans="1:13" x14ac:dyDescent="0.25">
      <c r="A7" s="2">
        <v>45659.502504173623</v>
      </c>
      <c r="B7" s="3" t="s">
        <v>16</v>
      </c>
      <c r="C7" s="3" t="s">
        <v>12</v>
      </c>
      <c r="D7" s="3">
        <v>158</v>
      </c>
      <c r="E7" s="3">
        <v>97</v>
      </c>
      <c r="F7" s="3">
        <v>24</v>
      </c>
      <c r="G7" s="3">
        <v>9</v>
      </c>
      <c r="H7" s="3">
        <v>0.61392405063291144</v>
      </c>
      <c r="I7" s="3">
        <v>0.24742268041237109</v>
      </c>
      <c r="J7" s="3">
        <v>0.375</v>
      </c>
      <c r="K7" s="3">
        <v>5.6962025316455688E-2</v>
      </c>
    </row>
    <row r="8" spans="1:13" x14ac:dyDescent="0.25">
      <c r="A8" s="2">
        <v>45659.803005008347</v>
      </c>
      <c r="B8" s="3" t="s">
        <v>16</v>
      </c>
      <c r="C8" s="3" t="s">
        <v>12</v>
      </c>
      <c r="D8" s="3">
        <v>538</v>
      </c>
      <c r="E8" s="3">
        <v>415</v>
      </c>
      <c r="F8" s="3">
        <v>89</v>
      </c>
      <c r="G8" s="3">
        <v>36</v>
      </c>
      <c r="H8" s="3">
        <v>0.77137546468401486</v>
      </c>
      <c r="I8" s="3">
        <v>0.21445783132530119</v>
      </c>
      <c r="J8" s="3">
        <v>0.4044943820224719</v>
      </c>
      <c r="K8" s="3">
        <v>6.6914498141263934E-2</v>
      </c>
      <c r="L8" t="s">
        <v>36</v>
      </c>
      <c r="M8" s="6">
        <f>IFERROR(M4/M3,0)</f>
        <v>0.6829077823090729</v>
      </c>
    </row>
    <row r="9" spans="1:13" x14ac:dyDescent="0.25">
      <c r="A9" s="2">
        <v>45660.103505843057</v>
      </c>
      <c r="B9" s="3" t="s">
        <v>17</v>
      </c>
      <c r="C9" s="3" t="s">
        <v>12</v>
      </c>
      <c r="D9" s="3">
        <v>649</v>
      </c>
      <c r="E9" s="3">
        <v>435</v>
      </c>
      <c r="F9" s="3">
        <v>139</v>
      </c>
      <c r="G9" s="3">
        <v>54</v>
      </c>
      <c r="H9" s="3">
        <v>0.67026194144838214</v>
      </c>
      <c r="I9" s="3">
        <v>0.31954022988505748</v>
      </c>
      <c r="J9" s="3">
        <v>0.38848920863309361</v>
      </c>
      <c r="K9" s="3">
        <v>8.3204930662557783E-2</v>
      </c>
      <c r="L9" t="s">
        <v>38</v>
      </c>
      <c r="M9" s="6">
        <f>IFERROR(M5/M4,0)</f>
        <v>0.29663561526578708</v>
      </c>
    </row>
    <row r="10" spans="1:13" x14ac:dyDescent="0.25">
      <c r="A10" s="2">
        <v>45660.404006677789</v>
      </c>
      <c r="B10" s="3" t="s">
        <v>15</v>
      </c>
      <c r="C10" s="3" t="s">
        <v>12</v>
      </c>
      <c r="D10" s="3">
        <v>617</v>
      </c>
      <c r="E10" s="3">
        <v>451</v>
      </c>
      <c r="F10" s="3">
        <v>132</v>
      </c>
      <c r="G10" s="3">
        <v>68</v>
      </c>
      <c r="H10" s="3">
        <v>0.73095623987034031</v>
      </c>
      <c r="I10" s="3">
        <v>0.29268292682926828</v>
      </c>
      <c r="J10" s="3">
        <v>0.51515151515151514</v>
      </c>
      <c r="K10" s="3">
        <v>0.1102106969205835</v>
      </c>
      <c r="L10" t="s">
        <v>37</v>
      </c>
      <c r="M10" s="6">
        <f>IFERROR(M6/M5,0)</f>
        <v>0.45254520041480678</v>
      </c>
    </row>
    <row r="11" spans="1:13" x14ac:dyDescent="0.25">
      <c r="A11" s="2">
        <v>45660.704507512513</v>
      </c>
      <c r="B11" s="3" t="s">
        <v>14</v>
      </c>
      <c r="C11" s="3" t="s">
        <v>18</v>
      </c>
      <c r="D11" s="3">
        <v>561</v>
      </c>
      <c r="E11" s="3">
        <v>353</v>
      </c>
      <c r="F11" s="3">
        <v>66</v>
      </c>
      <c r="G11" s="3">
        <v>32</v>
      </c>
      <c r="H11" s="3">
        <v>0.6292335115864528</v>
      </c>
      <c r="I11" s="3">
        <v>0.18696883852691221</v>
      </c>
      <c r="J11" s="3">
        <v>0.48484848484848492</v>
      </c>
      <c r="K11" s="3">
        <v>5.7040998217468802E-2</v>
      </c>
      <c r="L11" t="s">
        <v>10</v>
      </c>
      <c r="M11" s="6">
        <f>IFERROR(M6/M3,0)</f>
        <v>9.1674239967849624E-2</v>
      </c>
    </row>
    <row r="12" spans="1:13" x14ac:dyDescent="0.25">
      <c r="A12" s="2">
        <v>45661.005008347252</v>
      </c>
      <c r="B12" s="3" t="s">
        <v>16</v>
      </c>
      <c r="C12" s="3" t="s">
        <v>12</v>
      </c>
      <c r="D12" s="3">
        <v>509</v>
      </c>
      <c r="E12" s="3">
        <v>395</v>
      </c>
      <c r="F12" s="3">
        <v>145</v>
      </c>
      <c r="G12" s="3">
        <v>80</v>
      </c>
      <c r="H12" s="3">
        <v>0.77603143418467579</v>
      </c>
      <c r="I12" s="3">
        <v>0.36708860759493672</v>
      </c>
      <c r="J12" s="3">
        <v>0.55172413793103448</v>
      </c>
      <c r="K12" s="3">
        <v>0.15717092337917479</v>
      </c>
    </row>
    <row r="13" spans="1:13" x14ac:dyDescent="0.25">
      <c r="A13" s="2">
        <v>45661.30550918197</v>
      </c>
      <c r="B13" s="3" t="s">
        <v>13</v>
      </c>
      <c r="C13" s="3" t="s">
        <v>18</v>
      </c>
      <c r="D13" s="3">
        <v>364</v>
      </c>
      <c r="E13" s="3">
        <v>209</v>
      </c>
      <c r="F13" s="3">
        <v>57</v>
      </c>
      <c r="G13" s="3">
        <v>26</v>
      </c>
      <c r="H13" s="3">
        <v>0.57417582417582413</v>
      </c>
      <c r="I13" s="3">
        <v>0.27272727272727271</v>
      </c>
      <c r="J13" s="3">
        <v>0.45614035087719301</v>
      </c>
      <c r="K13" s="3">
        <v>7.1428571428571425E-2</v>
      </c>
      <c r="L13" t="s">
        <v>40</v>
      </c>
      <c r="M13" t="s">
        <v>41</v>
      </c>
    </row>
    <row r="14" spans="1:13" x14ac:dyDescent="0.25">
      <c r="A14" s="2">
        <v>45661.606010016687</v>
      </c>
      <c r="B14" s="3" t="s">
        <v>17</v>
      </c>
      <c r="C14" s="3" t="s">
        <v>18</v>
      </c>
      <c r="D14" s="3">
        <v>595</v>
      </c>
      <c r="E14" s="3">
        <v>435</v>
      </c>
      <c r="F14" s="3">
        <v>175</v>
      </c>
      <c r="G14" s="3">
        <v>91</v>
      </c>
      <c r="H14" s="3">
        <v>0.73109243697478987</v>
      </c>
      <c r="I14" s="3">
        <v>0.40229885057471271</v>
      </c>
      <c r="J14" s="3">
        <v>0.52</v>
      </c>
      <c r="K14" s="3">
        <v>0.15294117647058819</v>
      </c>
      <c r="L14" t="s">
        <v>3</v>
      </c>
      <c r="M14" s="7">
        <f>M3</f>
        <v>218971</v>
      </c>
    </row>
    <row r="15" spans="1:13" x14ac:dyDescent="0.25">
      <c r="A15" s="2">
        <v>45661.906510851411</v>
      </c>
      <c r="B15" s="3" t="s">
        <v>16</v>
      </c>
      <c r="C15" s="3" t="s">
        <v>12</v>
      </c>
      <c r="D15" s="3">
        <v>178</v>
      </c>
      <c r="E15" s="3">
        <v>117</v>
      </c>
      <c r="F15" s="3">
        <v>23</v>
      </c>
      <c r="G15" s="3">
        <v>8</v>
      </c>
      <c r="H15" s="3">
        <v>0.65730337078651691</v>
      </c>
      <c r="I15" s="3">
        <v>0.1965811965811966</v>
      </c>
      <c r="J15" s="3">
        <v>0.34782608695652167</v>
      </c>
      <c r="K15" s="3">
        <v>4.49438202247191E-2</v>
      </c>
      <c r="L15" t="s">
        <v>4</v>
      </c>
      <c r="M15" s="7">
        <f>M4</f>
        <v>149537</v>
      </c>
    </row>
    <row r="16" spans="1:13" x14ac:dyDescent="0.25">
      <c r="A16" s="2">
        <v>45662.207011686143</v>
      </c>
      <c r="B16" s="3" t="s">
        <v>16</v>
      </c>
      <c r="C16" s="3" t="s">
        <v>18</v>
      </c>
      <c r="D16" s="3">
        <v>476</v>
      </c>
      <c r="E16" s="3">
        <v>364</v>
      </c>
      <c r="F16" s="3">
        <v>119</v>
      </c>
      <c r="G16" s="3">
        <v>63</v>
      </c>
      <c r="H16" s="3">
        <v>0.76470588235294112</v>
      </c>
      <c r="I16" s="3">
        <v>0.32692307692307693</v>
      </c>
      <c r="J16" s="3">
        <v>0.52941176470588236</v>
      </c>
      <c r="K16" s="3">
        <v>0.13235294117647059</v>
      </c>
      <c r="L16" t="s">
        <v>5</v>
      </c>
      <c r="M16" s="7">
        <f>M5</f>
        <v>44358</v>
      </c>
    </row>
    <row r="17" spans="1:13" x14ac:dyDescent="0.25">
      <c r="A17" s="2">
        <v>45662.507512520868</v>
      </c>
      <c r="B17" s="3" t="s">
        <v>16</v>
      </c>
      <c r="C17" s="3" t="s">
        <v>19</v>
      </c>
      <c r="D17" s="3">
        <v>568</v>
      </c>
      <c r="E17" s="3">
        <v>420</v>
      </c>
      <c r="F17" s="3">
        <v>173</v>
      </c>
      <c r="G17" s="3">
        <v>63</v>
      </c>
      <c r="H17" s="3">
        <v>0.73943661971830987</v>
      </c>
      <c r="I17" s="3">
        <v>0.41190476190476188</v>
      </c>
      <c r="J17" s="3">
        <v>0.36416184971098259</v>
      </c>
      <c r="K17" s="3">
        <v>0.1109154929577465</v>
      </c>
      <c r="L17" t="s">
        <v>6</v>
      </c>
      <c r="M17" s="7">
        <f>M6</f>
        <v>20074</v>
      </c>
    </row>
    <row r="18" spans="1:13" x14ac:dyDescent="0.25">
      <c r="A18" s="2">
        <v>45662.808013355592</v>
      </c>
      <c r="B18" s="3" t="s">
        <v>11</v>
      </c>
      <c r="C18" s="3" t="s">
        <v>12</v>
      </c>
      <c r="D18" s="3">
        <v>118</v>
      </c>
      <c r="E18" s="3">
        <v>87</v>
      </c>
      <c r="F18" s="3">
        <v>22</v>
      </c>
      <c r="G18" s="3">
        <v>14</v>
      </c>
      <c r="H18" s="3">
        <v>0.73728813559322037</v>
      </c>
      <c r="I18" s="3">
        <v>0.25287356321839077</v>
      </c>
      <c r="J18" s="3">
        <v>0.63636363636363635</v>
      </c>
      <c r="K18" s="3">
        <v>0.1186440677966102</v>
      </c>
    </row>
    <row r="19" spans="1:13" x14ac:dyDescent="0.25">
      <c r="A19" s="2">
        <v>45663.10851419031</v>
      </c>
      <c r="B19" s="3" t="s">
        <v>15</v>
      </c>
      <c r="C19" s="3" t="s">
        <v>12</v>
      </c>
      <c r="D19" s="3">
        <v>350</v>
      </c>
      <c r="E19" s="3">
        <v>247</v>
      </c>
      <c r="F19" s="3">
        <v>48</v>
      </c>
      <c r="G19" s="3">
        <v>19</v>
      </c>
      <c r="H19" s="3">
        <v>0.70571428571428574</v>
      </c>
      <c r="I19" s="3">
        <v>0.19433198380566799</v>
      </c>
      <c r="J19" s="3">
        <v>0.39583333333333331</v>
      </c>
      <c r="K19" s="3">
        <v>5.4285714285714277E-2</v>
      </c>
      <c r="L19" t="s">
        <v>42</v>
      </c>
      <c r="M19" t="s">
        <v>43</v>
      </c>
    </row>
    <row r="20" spans="1:13" x14ac:dyDescent="0.25">
      <c r="A20" s="2">
        <v>45663.409015025027</v>
      </c>
      <c r="B20" s="3" t="s">
        <v>11</v>
      </c>
      <c r="C20" s="3" t="s">
        <v>18</v>
      </c>
      <c r="D20" s="3">
        <v>236</v>
      </c>
      <c r="E20" s="3">
        <v>172</v>
      </c>
      <c r="F20" s="3">
        <v>54</v>
      </c>
      <c r="G20" s="3">
        <v>31</v>
      </c>
      <c r="H20" s="3">
        <v>0.72881355932203384</v>
      </c>
      <c r="I20" s="3">
        <v>0.31395348837209303</v>
      </c>
      <c r="J20" s="3">
        <v>0.57407407407407407</v>
      </c>
      <c r="K20" s="3">
        <v>0.13135593220338981</v>
      </c>
      <c r="L20" t="s">
        <v>45</v>
      </c>
      <c r="M20" s="8">
        <f>1-M8</f>
        <v>0.3170922176909271</v>
      </c>
    </row>
    <row r="21" spans="1:13" x14ac:dyDescent="0.25">
      <c r="A21" s="2">
        <v>45663.709515859759</v>
      </c>
      <c r="B21" s="3" t="s">
        <v>11</v>
      </c>
      <c r="C21" s="3" t="s">
        <v>18</v>
      </c>
      <c r="D21" s="3">
        <v>154</v>
      </c>
      <c r="E21" s="3">
        <v>104</v>
      </c>
      <c r="F21" s="3">
        <v>34</v>
      </c>
      <c r="G21" s="3">
        <v>15</v>
      </c>
      <c r="H21" s="3">
        <v>0.67532467532467533</v>
      </c>
      <c r="I21" s="3">
        <v>0.32692307692307693</v>
      </c>
      <c r="J21" s="3">
        <v>0.44117647058823528</v>
      </c>
      <c r="K21" s="3">
        <v>9.7402597402597407E-2</v>
      </c>
      <c r="L21" t="s">
        <v>44</v>
      </c>
      <c r="M21" s="8">
        <f>1-M9</f>
        <v>0.70336438473421292</v>
      </c>
    </row>
    <row r="22" spans="1:13" x14ac:dyDescent="0.25">
      <c r="A22" s="2">
        <v>45664.01001669449</v>
      </c>
      <c r="B22" s="3" t="s">
        <v>15</v>
      </c>
      <c r="C22" s="3" t="s">
        <v>12</v>
      </c>
      <c r="D22" s="3">
        <v>209</v>
      </c>
      <c r="E22" s="3">
        <v>156</v>
      </c>
      <c r="F22" s="3">
        <v>31</v>
      </c>
      <c r="G22" s="3">
        <v>10</v>
      </c>
      <c r="H22" s="3">
        <v>0.74641148325358853</v>
      </c>
      <c r="I22" s="3">
        <v>0.19871794871794871</v>
      </c>
      <c r="J22" s="3">
        <v>0.32258064516129031</v>
      </c>
      <c r="K22" s="3">
        <v>4.784688995215311E-2</v>
      </c>
      <c r="L22" t="s">
        <v>46</v>
      </c>
      <c r="M22" s="8">
        <f>1-M10</f>
        <v>0.54745479958519327</v>
      </c>
    </row>
    <row r="23" spans="1:13" x14ac:dyDescent="0.25">
      <c r="A23" s="2">
        <v>45664.310517529208</v>
      </c>
      <c r="B23" s="3" t="s">
        <v>16</v>
      </c>
      <c r="C23" s="3" t="s">
        <v>12</v>
      </c>
      <c r="D23" s="3">
        <v>163</v>
      </c>
      <c r="E23" s="3">
        <v>85</v>
      </c>
      <c r="F23" s="3">
        <v>14</v>
      </c>
      <c r="G23" s="3">
        <v>7</v>
      </c>
      <c r="H23" s="3">
        <v>0.5214723926380368</v>
      </c>
      <c r="I23" s="3">
        <v>0.1647058823529412</v>
      </c>
      <c r="J23" s="3">
        <v>0.5</v>
      </c>
      <c r="K23" s="3">
        <v>4.2944785276073622E-2</v>
      </c>
    </row>
    <row r="24" spans="1:13" x14ac:dyDescent="0.25">
      <c r="A24" s="2">
        <v>45664.611018363932</v>
      </c>
      <c r="B24" s="3" t="s">
        <v>11</v>
      </c>
      <c r="C24" s="3" t="s">
        <v>12</v>
      </c>
      <c r="D24" s="3">
        <v>101</v>
      </c>
      <c r="E24" s="3">
        <v>58</v>
      </c>
      <c r="F24" s="3">
        <v>28</v>
      </c>
      <c r="G24" s="3">
        <v>15</v>
      </c>
      <c r="H24" s="3">
        <v>0.57425742574257421</v>
      </c>
      <c r="I24" s="3">
        <v>0.48275862068965519</v>
      </c>
      <c r="J24" s="3">
        <v>0.5357142857142857</v>
      </c>
      <c r="K24" s="3">
        <v>0.14851485148514851</v>
      </c>
    </row>
    <row r="25" spans="1:13" x14ac:dyDescent="0.25">
      <c r="A25" s="2">
        <v>45664.911519198657</v>
      </c>
      <c r="B25" s="3" t="s">
        <v>11</v>
      </c>
      <c r="C25" s="3" t="s">
        <v>12</v>
      </c>
      <c r="D25" s="3">
        <v>538</v>
      </c>
      <c r="E25" s="3">
        <v>375</v>
      </c>
      <c r="F25" s="3">
        <v>98</v>
      </c>
      <c r="G25" s="3">
        <v>26</v>
      </c>
      <c r="H25" s="3">
        <v>0.69702602230483268</v>
      </c>
      <c r="I25" s="3">
        <v>0.26133333333333331</v>
      </c>
      <c r="J25" s="3">
        <v>0.26530612244897961</v>
      </c>
      <c r="K25" s="3">
        <v>4.8327137546468397E-2</v>
      </c>
    </row>
    <row r="26" spans="1:13" x14ac:dyDescent="0.25">
      <c r="A26" s="2">
        <v>45665.212020033381</v>
      </c>
      <c r="B26" s="3" t="s">
        <v>11</v>
      </c>
      <c r="C26" s="3" t="s">
        <v>18</v>
      </c>
      <c r="D26" s="3">
        <v>618</v>
      </c>
      <c r="E26" s="3">
        <v>337</v>
      </c>
      <c r="F26" s="3">
        <v>71</v>
      </c>
      <c r="G26" s="3">
        <v>21</v>
      </c>
      <c r="H26" s="3">
        <v>0.54530744336569581</v>
      </c>
      <c r="I26" s="3">
        <v>0.2106824925816024</v>
      </c>
      <c r="J26" s="3">
        <v>0.29577464788732388</v>
      </c>
      <c r="K26" s="3">
        <v>3.3980582524271843E-2</v>
      </c>
    </row>
    <row r="27" spans="1:13" x14ac:dyDescent="0.25">
      <c r="A27" s="2">
        <v>45665.512520868113</v>
      </c>
      <c r="B27" s="3" t="s">
        <v>17</v>
      </c>
      <c r="C27" s="3" t="s">
        <v>12</v>
      </c>
      <c r="D27" s="3">
        <v>461</v>
      </c>
      <c r="E27" s="3">
        <v>287</v>
      </c>
      <c r="F27" s="3">
        <v>77</v>
      </c>
      <c r="G27" s="3">
        <v>39</v>
      </c>
      <c r="H27" s="3">
        <v>0.62255965292841653</v>
      </c>
      <c r="I27" s="3">
        <v>0.26829268292682928</v>
      </c>
      <c r="J27" s="3">
        <v>0.50649350649350644</v>
      </c>
      <c r="K27" s="3">
        <v>8.4598698481561818E-2</v>
      </c>
    </row>
    <row r="28" spans="1:13" x14ac:dyDescent="0.25">
      <c r="A28" s="2">
        <v>45665.813021702837</v>
      </c>
      <c r="B28" s="3" t="s">
        <v>16</v>
      </c>
      <c r="C28" s="3" t="s">
        <v>12</v>
      </c>
      <c r="D28" s="3">
        <v>519</v>
      </c>
      <c r="E28" s="3">
        <v>318</v>
      </c>
      <c r="F28" s="3">
        <v>127</v>
      </c>
      <c r="G28" s="3">
        <v>43</v>
      </c>
      <c r="H28" s="3">
        <v>0.61271676300578037</v>
      </c>
      <c r="I28" s="3">
        <v>0.39937106918239001</v>
      </c>
      <c r="J28" s="3">
        <v>0.33858267716535428</v>
      </c>
      <c r="K28" s="3">
        <v>8.2851637764932567E-2</v>
      </c>
    </row>
    <row r="29" spans="1:13" x14ac:dyDescent="0.25">
      <c r="A29" s="2">
        <v>45666.113522537547</v>
      </c>
      <c r="B29" s="3" t="s">
        <v>15</v>
      </c>
      <c r="C29" s="3" t="s">
        <v>18</v>
      </c>
      <c r="D29" s="3">
        <v>100</v>
      </c>
      <c r="E29" s="3">
        <v>72</v>
      </c>
      <c r="F29" s="3">
        <v>19</v>
      </c>
      <c r="G29" s="3">
        <v>8</v>
      </c>
      <c r="H29" s="3">
        <v>0.72</v>
      </c>
      <c r="I29" s="3">
        <v>0.2638888888888889</v>
      </c>
      <c r="J29" s="3">
        <v>0.42105263157894729</v>
      </c>
      <c r="K29" s="3">
        <v>0.08</v>
      </c>
    </row>
    <row r="30" spans="1:13" x14ac:dyDescent="0.25">
      <c r="A30" s="2">
        <v>45666.414023372279</v>
      </c>
      <c r="B30" s="3" t="s">
        <v>15</v>
      </c>
      <c r="C30" s="3" t="s">
        <v>12</v>
      </c>
      <c r="D30" s="3">
        <v>382</v>
      </c>
      <c r="E30" s="3">
        <v>218</v>
      </c>
      <c r="F30" s="3">
        <v>53</v>
      </c>
      <c r="G30" s="3">
        <v>21</v>
      </c>
      <c r="H30" s="3">
        <v>0.5706806282722513</v>
      </c>
      <c r="I30" s="3">
        <v>0.24311926605504591</v>
      </c>
      <c r="J30" s="3">
        <v>0.39622641509433959</v>
      </c>
      <c r="K30" s="3">
        <v>5.4973821989528798E-2</v>
      </c>
    </row>
    <row r="31" spans="1:13" x14ac:dyDescent="0.25">
      <c r="A31" s="2">
        <v>45666.714524206996</v>
      </c>
      <c r="B31" s="3" t="s">
        <v>16</v>
      </c>
      <c r="C31" s="3" t="s">
        <v>12</v>
      </c>
      <c r="D31" s="3">
        <v>163</v>
      </c>
      <c r="E31" s="3">
        <v>105</v>
      </c>
      <c r="F31" s="3">
        <v>21</v>
      </c>
      <c r="G31" s="3">
        <v>5</v>
      </c>
      <c r="H31" s="3">
        <v>0.64417177914110424</v>
      </c>
      <c r="I31" s="3">
        <v>0.2</v>
      </c>
      <c r="J31" s="3">
        <v>0.23809523809523811</v>
      </c>
      <c r="K31" s="3">
        <v>3.0674846625766871E-2</v>
      </c>
    </row>
    <row r="32" spans="1:13" x14ac:dyDescent="0.25">
      <c r="A32" s="2">
        <v>45667.015025041743</v>
      </c>
      <c r="B32" s="3" t="s">
        <v>15</v>
      </c>
      <c r="C32" s="3" t="s">
        <v>18</v>
      </c>
      <c r="D32" s="3">
        <v>532</v>
      </c>
      <c r="E32" s="3">
        <v>378</v>
      </c>
      <c r="F32" s="3">
        <v>121</v>
      </c>
      <c r="G32" s="3">
        <v>50</v>
      </c>
      <c r="H32" s="3">
        <v>0.71052631578947367</v>
      </c>
      <c r="I32" s="3">
        <v>0.32010582010582012</v>
      </c>
      <c r="J32" s="3">
        <v>0.41322314049586778</v>
      </c>
      <c r="K32" s="3">
        <v>9.3984962406015032E-2</v>
      </c>
    </row>
    <row r="33" spans="1:11" x14ac:dyDescent="0.25">
      <c r="A33" s="2">
        <v>45667.31552587646</v>
      </c>
      <c r="B33" s="3" t="s">
        <v>16</v>
      </c>
      <c r="C33" s="3" t="s">
        <v>18</v>
      </c>
      <c r="D33" s="3">
        <v>466</v>
      </c>
      <c r="E33" s="3">
        <v>268</v>
      </c>
      <c r="F33" s="3">
        <v>85</v>
      </c>
      <c r="G33" s="3">
        <v>50</v>
      </c>
      <c r="H33" s="3">
        <v>0.57510729613733902</v>
      </c>
      <c r="I33" s="3">
        <v>0.31716417910447758</v>
      </c>
      <c r="J33" s="3">
        <v>0.58823529411764708</v>
      </c>
      <c r="K33" s="3">
        <v>0.1072961373390558</v>
      </c>
    </row>
    <row r="34" spans="1:11" x14ac:dyDescent="0.25">
      <c r="A34" s="2">
        <v>45667.616026711177</v>
      </c>
      <c r="B34" s="3" t="s">
        <v>16</v>
      </c>
      <c r="C34" s="3" t="s">
        <v>12</v>
      </c>
      <c r="D34" s="3">
        <v>586</v>
      </c>
      <c r="E34" s="3">
        <v>359</v>
      </c>
      <c r="F34" s="3">
        <v>101</v>
      </c>
      <c r="G34" s="3">
        <v>30</v>
      </c>
      <c r="H34" s="3">
        <v>0.61262798634812288</v>
      </c>
      <c r="I34" s="3">
        <v>0.28133704735376053</v>
      </c>
      <c r="J34" s="3">
        <v>0.29702970297029702</v>
      </c>
      <c r="K34" s="3">
        <v>5.1194539249146763E-2</v>
      </c>
    </row>
    <row r="35" spans="1:11" x14ac:dyDescent="0.25">
      <c r="A35" s="2">
        <v>45667.916527545902</v>
      </c>
      <c r="B35" s="3" t="s">
        <v>30</v>
      </c>
      <c r="C35" s="3" t="s">
        <v>12</v>
      </c>
      <c r="D35" s="3">
        <v>336</v>
      </c>
      <c r="E35" s="3">
        <v>202</v>
      </c>
      <c r="F35" s="3">
        <v>57</v>
      </c>
      <c r="G35" s="3">
        <v>23</v>
      </c>
      <c r="H35" s="3">
        <v>0.60119047619047616</v>
      </c>
      <c r="I35" s="3">
        <v>0.28217821782178221</v>
      </c>
      <c r="J35" s="3">
        <v>0.40350877192982448</v>
      </c>
      <c r="K35" s="3">
        <v>6.8452380952380959E-2</v>
      </c>
    </row>
    <row r="36" spans="1:11" x14ac:dyDescent="0.25">
      <c r="A36" s="2">
        <v>45668.217028380634</v>
      </c>
      <c r="B36" s="3" t="s">
        <v>13</v>
      </c>
      <c r="C36" s="3" t="s">
        <v>12</v>
      </c>
      <c r="D36" s="3">
        <v>649</v>
      </c>
      <c r="E36" s="3">
        <v>501</v>
      </c>
      <c r="F36" s="3">
        <v>106</v>
      </c>
      <c r="G36" s="3">
        <v>57</v>
      </c>
      <c r="H36" s="3">
        <v>0.77195685670261938</v>
      </c>
      <c r="I36" s="3">
        <v>0.21157684630738521</v>
      </c>
      <c r="J36" s="3">
        <v>0.53773584905660377</v>
      </c>
      <c r="K36" s="3">
        <v>8.7827426810477657E-2</v>
      </c>
    </row>
    <row r="37" spans="1:11" x14ac:dyDescent="0.25">
      <c r="A37" s="2">
        <v>45668.517529215358</v>
      </c>
      <c r="B37" s="3" t="s">
        <v>17</v>
      </c>
      <c r="C37" s="3" t="s">
        <v>12</v>
      </c>
      <c r="D37" s="3">
        <v>606</v>
      </c>
      <c r="E37" s="3">
        <v>388</v>
      </c>
      <c r="F37" s="3">
        <v>132</v>
      </c>
      <c r="G37" s="3">
        <v>67</v>
      </c>
      <c r="H37" s="3">
        <v>0.64026402640264024</v>
      </c>
      <c r="I37" s="3">
        <v>0.34020618556701032</v>
      </c>
      <c r="J37" s="3">
        <v>0.50757575757575757</v>
      </c>
      <c r="K37" s="3">
        <v>0.11056105610561059</v>
      </c>
    </row>
    <row r="38" spans="1:11" x14ac:dyDescent="0.25">
      <c r="A38" s="2">
        <v>45668.818030050083</v>
      </c>
      <c r="B38" s="3" t="s">
        <v>11</v>
      </c>
      <c r="C38" s="3" t="s">
        <v>12</v>
      </c>
      <c r="D38" s="3">
        <v>241</v>
      </c>
      <c r="E38" s="3">
        <v>182</v>
      </c>
      <c r="F38" s="3">
        <v>43</v>
      </c>
      <c r="G38" s="3">
        <v>21</v>
      </c>
      <c r="H38" s="3">
        <v>0.75518672199170123</v>
      </c>
      <c r="I38" s="3">
        <v>0.23626373626373631</v>
      </c>
      <c r="J38" s="3">
        <v>0.48837209302325579</v>
      </c>
      <c r="K38" s="3">
        <v>8.7136929460580909E-2</v>
      </c>
    </row>
    <row r="39" spans="1:11" x14ac:dyDescent="0.25">
      <c r="A39" s="2">
        <v>45669.1185308848</v>
      </c>
      <c r="B39" s="3" t="s">
        <v>16</v>
      </c>
      <c r="C39" s="3" t="s">
        <v>12</v>
      </c>
      <c r="D39" s="3">
        <v>242</v>
      </c>
      <c r="E39" s="3">
        <v>148</v>
      </c>
      <c r="F39" s="3">
        <v>33</v>
      </c>
      <c r="G39" s="3">
        <v>18</v>
      </c>
      <c r="H39" s="3">
        <v>0.61157024793388426</v>
      </c>
      <c r="I39" s="3">
        <v>0.222972972972973</v>
      </c>
      <c r="J39" s="3">
        <v>0.54545454545454541</v>
      </c>
      <c r="K39" s="3">
        <v>7.43801652892562E-2</v>
      </c>
    </row>
    <row r="40" spans="1:11" x14ac:dyDescent="0.25">
      <c r="A40" s="2">
        <v>45669.419031719517</v>
      </c>
      <c r="B40" s="3" t="s">
        <v>14</v>
      </c>
      <c r="C40" s="3" t="s">
        <v>12</v>
      </c>
      <c r="D40" s="3">
        <v>603</v>
      </c>
      <c r="E40" s="3">
        <v>453</v>
      </c>
      <c r="F40" s="3">
        <v>139</v>
      </c>
      <c r="G40" s="3">
        <v>88</v>
      </c>
      <c r="H40" s="3">
        <v>0.75124378109452739</v>
      </c>
      <c r="I40" s="3">
        <v>0.30684326710816778</v>
      </c>
      <c r="J40" s="3">
        <v>0.63309352517985606</v>
      </c>
      <c r="K40" s="3">
        <v>0.14593698175787731</v>
      </c>
    </row>
    <row r="41" spans="1:11" x14ac:dyDescent="0.25">
      <c r="A41" s="2">
        <v>45669.719532554249</v>
      </c>
      <c r="B41" s="3" t="s">
        <v>11</v>
      </c>
      <c r="C41" s="3" t="s">
        <v>12</v>
      </c>
      <c r="D41" s="3">
        <v>350</v>
      </c>
      <c r="E41" s="3">
        <v>228</v>
      </c>
      <c r="F41" s="3">
        <v>64</v>
      </c>
      <c r="G41" s="3">
        <v>36</v>
      </c>
      <c r="H41" s="3">
        <v>0.65142857142857147</v>
      </c>
      <c r="I41" s="3">
        <v>0.2807017543859649</v>
      </c>
      <c r="J41" s="3">
        <v>0.5625</v>
      </c>
      <c r="K41" s="3">
        <v>0.1028571428571429</v>
      </c>
    </row>
    <row r="42" spans="1:11" x14ac:dyDescent="0.25">
      <c r="A42" s="2">
        <v>45670.020033388981</v>
      </c>
      <c r="B42" s="3" t="s">
        <v>16</v>
      </c>
      <c r="C42" s="3" t="s">
        <v>12</v>
      </c>
      <c r="D42" s="3">
        <v>571</v>
      </c>
      <c r="E42" s="3">
        <v>348</v>
      </c>
      <c r="F42" s="3">
        <v>143</v>
      </c>
      <c r="G42" s="3">
        <v>51</v>
      </c>
      <c r="H42" s="3">
        <v>0.60945709281961469</v>
      </c>
      <c r="I42" s="3">
        <v>0.41091954022988508</v>
      </c>
      <c r="J42" s="3">
        <v>0.35664335664335672</v>
      </c>
      <c r="K42" s="3">
        <v>8.9316987740805598E-2</v>
      </c>
    </row>
    <row r="43" spans="1:11" x14ac:dyDescent="0.25">
      <c r="A43" s="2">
        <v>45670.320534223712</v>
      </c>
      <c r="B43" s="3" t="s">
        <v>15</v>
      </c>
      <c r="C43" s="3" t="s">
        <v>12</v>
      </c>
      <c r="D43" s="3">
        <v>287</v>
      </c>
      <c r="E43" s="3">
        <v>214</v>
      </c>
      <c r="F43" s="3">
        <v>74</v>
      </c>
      <c r="G43" s="3">
        <v>31</v>
      </c>
      <c r="H43" s="3">
        <v>0.74564459930313587</v>
      </c>
      <c r="I43" s="3">
        <v>0.34579439252336452</v>
      </c>
      <c r="J43" s="3">
        <v>0.41891891891891891</v>
      </c>
      <c r="K43" s="3">
        <v>0.10801393728222999</v>
      </c>
    </row>
    <row r="44" spans="1:11" x14ac:dyDescent="0.25">
      <c r="A44" s="2">
        <v>45670.621035058422</v>
      </c>
      <c r="B44" s="3" t="s">
        <v>16</v>
      </c>
      <c r="C44" s="3" t="s">
        <v>12</v>
      </c>
      <c r="D44" s="3">
        <v>618</v>
      </c>
      <c r="E44" s="3">
        <v>412</v>
      </c>
      <c r="F44" s="3">
        <v>113</v>
      </c>
      <c r="G44" s="3">
        <v>60</v>
      </c>
      <c r="H44" s="3">
        <v>0.66666666666666663</v>
      </c>
      <c r="I44" s="3">
        <v>0.27427184466019422</v>
      </c>
      <c r="J44" s="3">
        <v>0.53097345132743368</v>
      </c>
      <c r="K44" s="3">
        <v>9.7087378640776698E-2</v>
      </c>
    </row>
    <row r="45" spans="1:11" x14ac:dyDescent="0.25">
      <c r="A45" s="2">
        <v>45670.921535893147</v>
      </c>
      <c r="B45" s="3" t="s">
        <v>17</v>
      </c>
      <c r="C45" s="3" t="s">
        <v>12</v>
      </c>
      <c r="D45" s="3">
        <v>139</v>
      </c>
      <c r="E45" s="3">
        <v>97</v>
      </c>
      <c r="F45" s="3">
        <v>15</v>
      </c>
      <c r="G45" s="3">
        <v>7</v>
      </c>
      <c r="H45" s="3">
        <v>0.69784172661870503</v>
      </c>
      <c r="I45" s="3">
        <v>0.15463917525773199</v>
      </c>
      <c r="J45" s="3">
        <v>0.46666666666666667</v>
      </c>
      <c r="K45" s="3">
        <v>5.0359712230215833E-2</v>
      </c>
    </row>
    <row r="46" spans="1:11" x14ac:dyDescent="0.25">
      <c r="A46" s="2">
        <v>45671.222036727871</v>
      </c>
      <c r="B46" s="3" t="s">
        <v>16</v>
      </c>
      <c r="C46" s="3" t="s">
        <v>12</v>
      </c>
      <c r="D46" s="3">
        <v>509</v>
      </c>
      <c r="E46" s="3">
        <v>362</v>
      </c>
      <c r="F46" s="3">
        <v>116</v>
      </c>
      <c r="G46" s="3">
        <v>49</v>
      </c>
      <c r="H46" s="3">
        <v>0.71119842829076618</v>
      </c>
      <c r="I46" s="3">
        <v>0.32044198895027631</v>
      </c>
      <c r="J46" s="3">
        <v>0.42241379310344829</v>
      </c>
      <c r="K46" s="3">
        <v>9.6267190569744601E-2</v>
      </c>
    </row>
    <row r="47" spans="1:11" x14ac:dyDescent="0.25">
      <c r="A47" s="2">
        <v>45671.522537562603</v>
      </c>
      <c r="B47" s="3" t="s">
        <v>14</v>
      </c>
      <c r="C47" s="3" t="s">
        <v>18</v>
      </c>
      <c r="D47" s="3">
        <v>388</v>
      </c>
      <c r="E47" s="3">
        <v>247</v>
      </c>
      <c r="F47" s="3">
        <v>44</v>
      </c>
      <c r="G47" s="3">
        <v>18</v>
      </c>
      <c r="H47" s="3">
        <v>0.63659793814432986</v>
      </c>
      <c r="I47" s="3">
        <v>0.17813765182186231</v>
      </c>
      <c r="J47" s="3">
        <v>0.40909090909090912</v>
      </c>
      <c r="K47" s="3">
        <v>4.6391752577319589E-2</v>
      </c>
    </row>
    <row r="48" spans="1:11" x14ac:dyDescent="0.25">
      <c r="A48" s="2">
        <v>45671.823038397328</v>
      </c>
      <c r="B48" s="3" t="s">
        <v>11</v>
      </c>
      <c r="C48" s="3" t="s">
        <v>18</v>
      </c>
      <c r="D48" s="3">
        <v>599</v>
      </c>
      <c r="E48" s="3">
        <v>433</v>
      </c>
      <c r="F48" s="3">
        <v>135</v>
      </c>
      <c r="G48" s="3">
        <v>76</v>
      </c>
      <c r="H48" s="3">
        <v>0.72287145242070117</v>
      </c>
      <c r="I48" s="3">
        <v>0.31177829099307158</v>
      </c>
      <c r="J48" s="3">
        <v>0.562962962962963</v>
      </c>
      <c r="K48" s="3">
        <v>0.1268781302170284</v>
      </c>
    </row>
    <row r="49" spans="1:11" x14ac:dyDescent="0.25">
      <c r="A49" s="2">
        <v>45672.123539232052</v>
      </c>
      <c r="B49" s="3" t="s">
        <v>15</v>
      </c>
      <c r="C49" s="3" t="s">
        <v>18</v>
      </c>
      <c r="D49" s="3">
        <v>106</v>
      </c>
      <c r="E49" s="3">
        <v>57</v>
      </c>
      <c r="F49" s="3">
        <v>17</v>
      </c>
      <c r="G49" s="3">
        <v>6</v>
      </c>
      <c r="H49" s="3">
        <v>0.53773584905660377</v>
      </c>
      <c r="I49" s="3">
        <v>0.2982456140350877</v>
      </c>
      <c r="J49" s="3">
        <v>0.35294117647058831</v>
      </c>
      <c r="K49" s="3">
        <v>5.6603773584905662E-2</v>
      </c>
    </row>
    <row r="50" spans="1:11" x14ac:dyDescent="0.25">
      <c r="A50" s="2">
        <v>45672.42404006677</v>
      </c>
      <c r="B50" s="3" t="s">
        <v>15</v>
      </c>
      <c r="C50" s="3" t="s">
        <v>18</v>
      </c>
      <c r="D50" s="3">
        <v>641</v>
      </c>
      <c r="E50" s="3">
        <v>421</v>
      </c>
      <c r="F50" s="3">
        <v>133</v>
      </c>
      <c r="G50" s="3">
        <v>51</v>
      </c>
      <c r="H50" s="3">
        <v>0.65678627145085799</v>
      </c>
      <c r="I50" s="3">
        <v>0.31591448931116389</v>
      </c>
      <c r="J50" s="3">
        <v>0.38345864661654128</v>
      </c>
      <c r="K50" s="3">
        <v>7.9563182527301088E-2</v>
      </c>
    </row>
    <row r="51" spans="1:11" x14ac:dyDescent="0.25">
      <c r="A51" s="2">
        <v>45672.724540901487</v>
      </c>
      <c r="B51" s="3" t="s">
        <v>16</v>
      </c>
      <c r="C51" s="3" t="s">
        <v>12</v>
      </c>
      <c r="D51" s="3">
        <v>278</v>
      </c>
      <c r="E51" s="3">
        <v>188</v>
      </c>
      <c r="F51" s="3">
        <v>42</v>
      </c>
      <c r="G51" s="3">
        <v>24</v>
      </c>
      <c r="H51" s="3">
        <v>0.67625899280575541</v>
      </c>
      <c r="I51" s="3">
        <v>0.2234042553191489</v>
      </c>
      <c r="J51" s="3">
        <v>0.5714285714285714</v>
      </c>
      <c r="K51" s="3">
        <v>8.6330935251798566E-2</v>
      </c>
    </row>
    <row r="52" spans="1:11" x14ac:dyDescent="0.25">
      <c r="A52" s="2">
        <v>45673.025041736233</v>
      </c>
      <c r="B52" s="3" t="s">
        <v>13</v>
      </c>
      <c r="C52" s="3" t="s">
        <v>12</v>
      </c>
      <c r="D52" s="3">
        <v>466</v>
      </c>
      <c r="E52" s="3">
        <v>293</v>
      </c>
      <c r="F52" s="3">
        <v>92</v>
      </c>
      <c r="G52" s="3">
        <v>35</v>
      </c>
      <c r="H52" s="3">
        <v>0.628755364806867</v>
      </c>
      <c r="I52" s="3">
        <v>0.31399317406143351</v>
      </c>
      <c r="J52" s="3">
        <v>0.38043478260869568</v>
      </c>
      <c r="K52" s="3">
        <v>7.5107296137339061E-2</v>
      </c>
    </row>
    <row r="53" spans="1:11" x14ac:dyDescent="0.25">
      <c r="A53" s="2">
        <v>45673.32554257095</v>
      </c>
      <c r="B53" s="3" t="s">
        <v>17</v>
      </c>
      <c r="C53" s="3" t="s">
        <v>12</v>
      </c>
      <c r="D53" s="3">
        <v>428</v>
      </c>
      <c r="E53" s="3">
        <v>293</v>
      </c>
      <c r="F53" s="3">
        <v>88</v>
      </c>
      <c r="G53" s="3">
        <v>43</v>
      </c>
      <c r="H53" s="3">
        <v>0.68457943925233644</v>
      </c>
      <c r="I53" s="3">
        <v>0.30034129692832767</v>
      </c>
      <c r="J53" s="3">
        <v>0.48863636363636359</v>
      </c>
      <c r="K53" s="3">
        <v>0.10046728971962619</v>
      </c>
    </row>
    <row r="54" spans="1:11" x14ac:dyDescent="0.25">
      <c r="A54" s="2">
        <v>45673.626043405668</v>
      </c>
      <c r="B54" s="3" t="s">
        <v>13</v>
      </c>
      <c r="C54" s="3" t="s">
        <v>18</v>
      </c>
      <c r="D54" s="3">
        <v>615</v>
      </c>
      <c r="E54" s="3">
        <v>446</v>
      </c>
      <c r="F54" s="3">
        <v>90</v>
      </c>
      <c r="G54" s="3">
        <v>30</v>
      </c>
      <c r="H54" s="3">
        <v>0.72520325203252034</v>
      </c>
      <c r="I54" s="3">
        <v>0.2017937219730942</v>
      </c>
      <c r="J54" s="3">
        <v>0.33333333333333331</v>
      </c>
      <c r="K54" s="3">
        <v>4.878048780487805E-2</v>
      </c>
    </row>
    <row r="55" spans="1:11" x14ac:dyDescent="0.25">
      <c r="A55" s="2">
        <v>45673.926544240392</v>
      </c>
      <c r="B55" s="3" t="s">
        <v>17</v>
      </c>
      <c r="C55" s="3" t="s">
        <v>18</v>
      </c>
      <c r="D55" s="3">
        <v>457</v>
      </c>
      <c r="E55" s="3">
        <v>328</v>
      </c>
      <c r="F55" s="3">
        <v>64</v>
      </c>
      <c r="G55" s="3">
        <v>29</v>
      </c>
      <c r="H55" s="3">
        <v>0.71772428884026263</v>
      </c>
      <c r="I55" s="3">
        <v>0.1951219512195122</v>
      </c>
      <c r="J55" s="3">
        <v>0.453125</v>
      </c>
      <c r="K55" s="3">
        <v>6.3457330415754923E-2</v>
      </c>
    </row>
    <row r="56" spans="1:11" x14ac:dyDescent="0.25">
      <c r="A56" s="2">
        <v>45674.227045075117</v>
      </c>
      <c r="B56" s="3" t="s">
        <v>15</v>
      </c>
      <c r="C56" s="3" t="s">
        <v>12</v>
      </c>
      <c r="D56" s="3">
        <v>637</v>
      </c>
      <c r="E56" s="3">
        <v>423</v>
      </c>
      <c r="F56" s="3">
        <v>128</v>
      </c>
      <c r="G56" s="3">
        <v>52</v>
      </c>
      <c r="H56" s="3">
        <v>0.66405023547880693</v>
      </c>
      <c r="I56" s="3">
        <v>0.30260047281323882</v>
      </c>
      <c r="J56" s="3">
        <v>0.40625</v>
      </c>
      <c r="K56" s="3">
        <v>8.1632653061224483E-2</v>
      </c>
    </row>
    <row r="57" spans="1:11" x14ac:dyDescent="0.25">
      <c r="A57" s="2">
        <v>45674.527545909848</v>
      </c>
      <c r="B57" s="3" t="s">
        <v>13</v>
      </c>
      <c r="C57" s="3" t="s">
        <v>12</v>
      </c>
      <c r="D57" s="3">
        <v>606</v>
      </c>
      <c r="E57" s="3">
        <v>357</v>
      </c>
      <c r="F57" s="3">
        <v>101</v>
      </c>
      <c r="G57" s="3">
        <v>39</v>
      </c>
      <c r="H57" s="3">
        <v>0.58910891089108908</v>
      </c>
      <c r="I57" s="3">
        <v>0.28291316526610638</v>
      </c>
      <c r="J57" s="3">
        <v>0.38613861386138609</v>
      </c>
      <c r="K57" s="3">
        <v>6.4356435643564358E-2</v>
      </c>
    </row>
    <row r="58" spans="1:11" x14ac:dyDescent="0.25">
      <c r="A58" s="2">
        <v>45674.828046744573</v>
      </c>
      <c r="B58" s="3" t="s">
        <v>16</v>
      </c>
      <c r="C58" s="3" t="s">
        <v>12</v>
      </c>
      <c r="D58" s="3">
        <v>232</v>
      </c>
      <c r="E58" s="3">
        <v>169</v>
      </c>
      <c r="F58" s="3">
        <v>53</v>
      </c>
      <c r="G58" s="3">
        <v>21</v>
      </c>
      <c r="H58" s="3">
        <v>0.72844827586206895</v>
      </c>
      <c r="I58" s="3">
        <v>0.31360946745562129</v>
      </c>
      <c r="J58" s="3">
        <v>0.39622641509433959</v>
      </c>
      <c r="K58" s="3">
        <v>9.0517241379310345E-2</v>
      </c>
    </row>
    <row r="59" spans="1:11" x14ac:dyDescent="0.25">
      <c r="A59" s="2">
        <v>45675.128547579297</v>
      </c>
      <c r="B59" s="3" t="s">
        <v>16</v>
      </c>
      <c r="C59" s="3" t="s">
        <v>12</v>
      </c>
      <c r="D59" s="3">
        <v>285</v>
      </c>
      <c r="E59" s="3">
        <v>192</v>
      </c>
      <c r="F59" s="3">
        <v>41</v>
      </c>
      <c r="G59" s="3">
        <v>12</v>
      </c>
      <c r="H59" s="3">
        <v>0.67368421052631577</v>
      </c>
      <c r="I59" s="3">
        <v>0.21354166666666671</v>
      </c>
      <c r="J59" s="3">
        <v>0.29268292682926828</v>
      </c>
      <c r="K59" s="3">
        <v>4.2105263157894743E-2</v>
      </c>
    </row>
    <row r="60" spans="1:11" x14ac:dyDescent="0.25">
      <c r="A60" s="2">
        <v>45675.429048414007</v>
      </c>
      <c r="B60" s="3" t="s">
        <v>16</v>
      </c>
      <c r="C60" s="3" t="s">
        <v>18</v>
      </c>
      <c r="D60" s="3">
        <v>534</v>
      </c>
      <c r="E60" s="3">
        <v>389</v>
      </c>
      <c r="F60" s="3">
        <v>73</v>
      </c>
      <c r="G60" s="3">
        <v>37</v>
      </c>
      <c r="H60" s="3">
        <v>0.72846441947565543</v>
      </c>
      <c r="I60" s="3">
        <v>0.18766066838046269</v>
      </c>
      <c r="J60" s="3">
        <v>0.50684931506849318</v>
      </c>
      <c r="K60" s="3">
        <v>6.9288389513108617E-2</v>
      </c>
    </row>
    <row r="61" spans="1:11" x14ac:dyDescent="0.25">
      <c r="A61" s="2">
        <v>45675.729549248739</v>
      </c>
      <c r="B61" s="3" t="s">
        <v>11</v>
      </c>
      <c r="C61" s="3" t="s">
        <v>12</v>
      </c>
      <c r="D61" s="3">
        <v>352</v>
      </c>
      <c r="E61" s="3">
        <v>285</v>
      </c>
      <c r="F61" s="3">
        <v>119</v>
      </c>
      <c r="G61" s="3">
        <v>42</v>
      </c>
      <c r="H61" s="3">
        <v>0.80965909090909094</v>
      </c>
      <c r="I61" s="3">
        <v>0.41754385964912277</v>
      </c>
      <c r="J61" s="3">
        <v>0.35294117647058831</v>
      </c>
      <c r="K61" s="3">
        <v>0.1193181818181818</v>
      </c>
    </row>
    <row r="62" spans="1:11" x14ac:dyDescent="0.25">
      <c r="A62" s="2">
        <v>45676.030050083471</v>
      </c>
      <c r="B62" s="3" t="s">
        <v>11</v>
      </c>
      <c r="C62" s="3" t="s">
        <v>12</v>
      </c>
      <c r="D62" s="3">
        <v>315</v>
      </c>
      <c r="E62" s="3">
        <v>231</v>
      </c>
      <c r="F62" s="3">
        <v>48</v>
      </c>
      <c r="G62" s="3">
        <v>20</v>
      </c>
      <c r="H62" s="3">
        <v>0.73333333333333328</v>
      </c>
      <c r="I62" s="3">
        <v>0.20779220779220781</v>
      </c>
      <c r="J62" s="3">
        <v>0.41666666666666669</v>
      </c>
      <c r="K62" s="3">
        <v>6.3492063492063489E-2</v>
      </c>
    </row>
    <row r="63" spans="1:11" x14ac:dyDescent="0.25">
      <c r="A63" s="2">
        <v>45676.330550918203</v>
      </c>
      <c r="B63" s="3" t="s">
        <v>16</v>
      </c>
      <c r="C63" s="3" t="s">
        <v>19</v>
      </c>
      <c r="D63" s="3">
        <v>600</v>
      </c>
      <c r="E63" s="3">
        <v>361</v>
      </c>
      <c r="F63" s="3">
        <v>66</v>
      </c>
      <c r="G63" s="3">
        <v>36</v>
      </c>
      <c r="H63" s="3">
        <v>0.60166666666666668</v>
      </c>
      <c r="I63" s="3">
        <v>0.18282548476454291</v>
      </c>
      <c r="J63" s="3">
        <v>0.54545454545454541</v>
      </c>
      <c r="K63" s="3">
        <v>0.06</v>
      </c>
    </row>
    <row r="64" spans="1:11" x14ac:dyDescent="0.25">
      <c r="A64" s="2">
        <v>45676.63105175292</v>
      </c>
      <c r="B64" s="3" t="s">
        <v>17</v>
      </c>
      <c r="C64" s="3" t="s">
        <v>18</v>
      </c>
      <c r="D64" s="3">
        <v>580</v>
      </c>
      <c r="E64" s="3">
        <v>394</v>
      </c>
      <c r="F64" s="3">
        <v>98</v>
      </c>
      <c r="G64" s="3">
        <v>60</v>
      </c>
      <c r="H64" s="3">
        <v>0.67931034482758623</v>
      </c>
      <c r="I64" s="3">
        <v>0.2487309644670051</v>
      </c>
      <c r="J64" s="3">
        <v>0.61224489795918369</v>
      </c>
      <c r="K64" s="3">
        <v>0.10344827586206901</v>
      </c>
    </row>
    <row r="65" spans="1:11" x14ac:dyDescent="0.25">
      <c r="A65" s="2">
        <v>45676.931552587637</v>
      </c>
      <c r="B65" s="3" t="s">
        <v>11</v>
      </c>
      <c r="C65" s="3" t="s">
        <v>12</v>
      </c>
      <c r="D65" s="3">
        <v>196</v>
      </c>
      <c r="E65" s="3">
        <v>144</v>
      </c>
      <c r="F65" s="3">
        <v>30</v>
      </c>
      <c r="G65" s="3">
        <v>5</v>
      </c>
      <c r="H65" s="3">
        <v>0.73469387755102045</v>
      </c>
      <c r="I65" s="3">
        <v>0.20833333333333329</v>
      </c>
      <c r="J65" s="3">
        <v>0.16666666666666671</v>
      </c>
      <c r="K65" s="3">
        <v>2.551020408163265E-2</v>
      </c>
    </row>
    <row r="66" spans="1:11" x14ac:dyDescent="0.25">
      <c r="A66" s="2">
        <v>45677.232053422362</v>
      </c>
      <c r="B66" s="3" t="s">
        <v>11</v>
      </c>
      <c r="C66" s="3" t="s">
        <v>12</v>
      </c>
      <c r="D66" s="3">
        <v>465</v>
      </c>
      <c r="E66" s="3">
        <v>379</v>
      </c>
      <c r="F66" s="3">
        <v>71</v>
      </c>
      <c r="G66" s="3">
        <v>40</v>
      </c>
      <c r="H66" s="3">
        <v>0.81505376344086022</v>
      </c>
      <c r="I66" s="3">
        <v>0.18733509234828499</v>
      </c>
      <c r="J66" s="3">
        <v>0.56338028169014087</v>
      </c>
      <c r="K66" s="3">
        <v>8.6021505376344093E-2</v>
      </c>
    </row>
    <row r="67" spans="1:11" x14ac:dyDescent="0.25">
      <c r="A67" s="2">
        <v>45677.532554257094</v>
      </c>
      <c r="B67" s="3" t="s">
        <v>15</v>
      </c>
      <c r="C67" s="3" t="s">
        <v>12</v>
      </c>
      <c r="D67" s="3">
        <v>423</v>
      </c>
      <c r="E67" s="3">
        <v>236</v>
      </c>
      <c r="F67" s="3">
        <v>43</v>
      </c>
      <c r="G67" s="3">
        <v>16</v>
      </c>
      <c r="H67" s="3">
        <v>0.55791962174940901</v>
      </c>
      <c r="I67" s="3">
        <v>0.18220338983050849</v>
      </c>
      <c r="J67" s="3">
        <v>0.37209302325581389</v>
      </c>
      <c r="K67" s="3">
        <v>3.7825059101654852E-2</v>
      </c>
    </row>
    <row r="68" spans="1:11" x14ac:dyDescent="0.25">
      <c r="A68" s="2">
        <v>45677.833055091818</v>
      </c>
      <c r="B68" s="3" t="s">
        <v>16</v>
      </c>
      <c r="C68" s="3" t="s">
        <v>12</v>
      </c>
      <c r="D68" s="3">
        <v>474</v>
      </c>
      <c r="E68" s="3">
        <v>282</v>
      </c>
      <c r="F68" s="3">
        <v>115</v>
      </c>
      <c r="G68" s="3">
        <v>41</v>
      </c>
      <c r="H68" s="3">
        <v>0.59493670886075944</v>
      </c>
      <c r="I68" s="3">
        <v>0.40780141843971629</v>
      </c>
      <c r="J68" s="3">
        <v>0.35652173913043478</v>
      </c>
      <c r="K68" s="3">
        <v>8.6497890295358648E-2</v>
      </c>
    </row>
    <row r="69" spans="1:11" x14ac:dyDescent="0.25">
      <c r="A69" s="2">
        <v>45678.133555926543</v>
      </c>
      <c r="B69" s="3" t="s">
        <v>17</v>
      </c>
      <c r="C69" s="3" t="s">
        <v>12</v>
      </c>
      <c r="D69" s="3">
        <v>143</v>
      </c>
      <c r="E69" s="3">
        <v>98</v>
      </c>
      <c r="F69" s="3">
        <v>43</v>
      </c>
      <c r="G69" s="3">
        <v>14</v>
      </c>
      <c r="H69" s="3">
        <v>0.68531468531468531</v>
      </c>
      <c r="I69" s="3">
        <v>0.43877551020408162</v>
      </c>
      <c r="J69" s="3">
        <v>0.32558139534883718</v>
      </c>
      <c r="K69" s="3">
        <v>9.7902097902097904E-2</v>
      </c>
    </row>
    <row r="70" spans="1:11" x14ac:dyDescent="0.25">
      <c r="A70" s="2">
        <v>45678.43405676126</v>
      </c>
      <c r="B70" s="3" t="s">
        <v>16</v>
      </c>
      <c r="C70" s="3" t="s">
        <v>12</v>
      </c>
      <c r="D70" s="3">
        <v>151</v>
      </c>
      <c r="E70" s="3">
        <v>87</v>
      </c>
      <c r="F70" s="3">
        <v>30</v>
      </c>
      <c r="G70" s="3">
        <v>15</v>
      </c>
      <c r="H70" s="3">
        <v>0.57615894039735094</v>
      </c>
      <c r="I70" s="3">
        <v>0.34482758620689657</v>
      </c>
      <c r="J70" s="3">
        <v>0.5</v>
      </c>
      <c r="K70" s="3">
        <v>9.9337748344370855E-2</v>
      </c>
    </row>
    <row r="71" spans="1:11" x14ac:dyDescent="0.25">
      <c r="A71" s="2">
        <v>45678.734557595977</v>
      </c>
      <c r="B71" s="3" t="s">
        <v>13</v>
      </c>
      <c r="C71" s="3" t="s">
        <v>12</v>
      </c>
      <c r="D71" s="3">
        <v>353</v>
      </c>
      <c r="E71" s="3">
        <v>216</v>
      </c>
      <c r="F71" s="3">
        <v>77</v>
      </c>
      <c r="G71" s="3">
        <v>50</v>
      </c>
      <c r="H71" s="3">
        <v>0.61189801699716717</v>
      </c>
      <c r="I71" s="3">
        <v>0.35648148148148151</v>
      </c>
      <c r="J71" s="3">
        <v>0.64935064935064934</v>
      </c>
      <c r="K71" s="3">
        <v>0.14164305949008499</v>
      </c>
    </row>
    <row r="72" spans="1:11" x14ac:dyDescent="0.25">
      <c r="A72" s="2">
        <v>45679.035058430723</v>
      </c>
      <c r="B72" s="3" t="s">
        <v>17</v>
      </c>
      <c r="C72" s="3" t="s">
        <v>12</v>
      </c>
      <c r="D72" s="3">
        <v>399</v>
      </c>
      <c r="E72" s="3">
        <v>299</v>
      </c>
      <c r="F72" s="3">
        <v>123</v>
      </c>
      <c r="G72" s="3">
        <v>75</v>
      </c>
      <c r="H72" s="3">
        <v>0.74937343358395991</v>
      </c>
      <c r="I72" s="3">
        <v>0.41137123745819398</v>
      </c>
      <c r="J72" s="3">
        <v>0.6097560975609756</v>
      </c>
      <c r="K72" s="3">
        <v>0.18796992481203009</v>
      </c>
    </row>
    <row r="73" spans="1:11" x14ac:dyDescent="0.25">
      <c r="A73" s="2">
        <v>45679.335559265441</v>
      </c>
      <c r="B73" s="3" t="s">
        <v>16</v>
      </c>
      <c r="C73" s="3" t="s">
        <v>18</v>
      </c>
      <c r="D73" s="3">
        <v>417</v>
      </c>
      <c r="E73" s="3">
        <v>327</v>
      </c>
      <c r="F73" s="3">
        <v>112</v>
      </c>
      <c r="G73" s="3">
        <v>41</v>
      </c>
      <c r="H73" s="3">
        <v>0.78417266187050361</v>
      </c>
      <c r="I73" s="3">
        <v>0.34250764525993882</v>
      </c>
      <c r="J73" s="3">
        <v>0.36607142857142849</v>
      </c>
      <c r="K73" s="3">
        <v>9.8321342925659472E-2</v>
      </c>
    </row>
    <row r="74" spans="1:11" x14ac:dyDescent="0.25">
      <c r="A74" s="2">
        <v>45679.636060100172</v>
      </c>
      <c r="B74" s="3" t="s">
        <v>16</v>
      </c>
      <c r="C74" s="3" t="s">
        <v>12</v>
      </c>
      <c r="D74" s="3">
        <v>445</v>
      </c>
      <c r="E74" s="3">
        <v>302</v>
      </c>
      <c r="F74" s="3">
        <v>110</v>
      </c>
      <c r="G74" s="3">
        <v>47</v>
      </c>
      <c r="H74" s="3">
        <v>0.67865168539325837</v>
      </c>
      <c r="I74" s="3">
        <v>0.36423841059602652</v>
      </c>
      <c r="J74" s="3">
        <v>0.42727272727272719</v>
      </c>
      <c r="K74" s="3">
        <v>0.10561797752808991</v>
      </c>
    </row>
    <row r="75" spans="1:11" x14ac:dyDescent="0.25">
      <c r="A75" s="2">
        <v>45679.936560934882</v>
      </c>
      <c r="B75" s="3" t="s">
        <v>17</v>
      </c>
      <c r="C75" s="3" t="s">
        <v>12</v>
      </c>
      <c r="D75" s="3">
        <v>574</v>
      </c>
      <c r="E75" s="3">
        <v>429</v>
      </c>
      <c r="F75" s="3">
        <v>82</v>
      </c>
      <c r="G75" s="3">
        <v>54</v>
      </c>
      <c r="H75" s="3">
        <v>0.7473867595818815</v>
      </c>
      <c r="I75" s="3">
        <v>0.19114219114219111</v>
      </c>
      <c r="J75" s="3">
        <v>0.65853658536585369</v>
      </c>
      <c r="K75" s="3">
        <v>9.4076655052264813E-2</v>
      </c>
    </row>
    <row r="76" spans="1:11" x14ac:dyDescent="0.25">
      <c r="A76" s="2">
        <v>45680.237061769607</v>
      </c>
      <c r="B76" s="3" t="s">
        <v>14</v>
      </c>
      <c r="C76" s="3" t="s">
        <v>12</v>
      </c>
      <c r="D76" s="3">
        <v>245</v>
      </c>
      <c r="E76" s="3">
        <v>188</v>
      </c>
      <c r="F76" s="3">
        <v>31</v>
      </c>
      <c r="G76" s="3">
        <v>13</v>
      </c>
      <c r="H76" s="3">
        <v>0.76734693877551019</v>
      </c>
      <c r="I76" s="3">
        <v>0.16489361702127661</v>
      </c>
      <c r="J76" s="3">
        <v>0.41935483870967738</v>
      </c>
      <c r="K76" s="3">
        <v>5.3061224489795923E-2</v>
      </c>
    </row>
    <row r="77" spans="1:11" x14ac:dyDescent="0.25">
      <c r="A77" s="2">
        <v>45680.537562604339</v>
      </c>
      <c r="B77" s="3" t="s">
        <v>14</v>
      </c>
      <c r="C77" s="3" t="s">
        <v>19</v>
      </c>
      <c r="D77" s="3">
        <v>623</v>
      </c>
      <c r="E77" s="3">
        <v>483</v>
      </c>
      <c r="F77" s="3">
        <v>199</v>
      </c>
      <c r="G77" s="3">
        <v>99</v>
      </c>
      <c r="H77" s="3">
        <v>0.7752808988764045</v>
      </c>
      <c r="I77" s="3">
        <v>0.41200828157349889</v>
      </c>
      <c r="J77" s="3">
        <v>0.49748743718592958</v>
      </c>
      <c r="K77" s="3">
        <v>0.158908507223114</v>
      </c>
    </row>
    <row r="78" spans="1:11" x14ac:dyDescent="0.25">
      <c r="A78" s="2">
        <v>45680.838063439063</v>
      </c>
      <c r="B78" s="3" t="s">
        <v>17</v>
      </c>
      <c r="C78" s="3" t="s">
        <v>12</v>
      </c>
      <c r="D78" s="3">
        <v>90</v>
      </c>
      <c r="E78" s="3">
        <v>66</v>
      </c>
      <c r="F78" s="3">
        <v>21</v>
      </c>
      <c r="G78" s="3">
        <v>6</v>
      </c>
      <c r="H78" s="3">
        <v>0.73333333333333328</v>
      </c>
      <c r="I78" s="3">
        <v>0.31818181818181818</v>
      </c>
      <c r="J78" s="3">
        <v>0.2857142857142857</v>
      </c>
      <c r="K78" s="3">
        <v>6.6666666666666666E-2</v>
      </c>
    </row>
    <row r="79" spans="1:11" x14ac:dyDescent="0.25">
      <c r="A79" s="2">
        <v>45681.138564273788</v>
      </c>
      <c r="B79" s="3" t="s">
        <v>16</v>
      </c>
      <c r="C79" s="3" t="s">
        <v>12</v>
      </c>
      <c r="D79" s="3">
        <v>380</v>
      </c>
      <c r="E79" s="3">
        <v>257</v>
      </c>
      <c r="F79" s="3">
        <v>89</v>
      </c>
      <c r="G79" s="3">
        <v>30</v>
      </c>
      <c r="H79" s="3">
        <v>0.6763157894736842</v>
      </c>
      <c r="I79" s="3">
        <v>0.34630350194552528</v>
      </c>
      <c r="J79" s="3">
        <v>0.33707865168539319</v>
      </c>
      <c r="K79" s="3">
        <v>7.8947368421052627E-2</v>
      </c>
    </row>
    <row r="80" spans="1:11" x14ac:dyDescent="0.25">
      <c r="A80" s="2">
        <v>45681.439065108512</v>
      </c>
      <c r="B80" s="3" t="s">
        <v>11</v>
      </c>
      <c r="C80" s="3" t="s">
        <v>19</v>
      </c>
      <c r="D80" s="3">
        <v>181</v>
      </c>
      <c r="E80" s="3">
        <v>119</v>
      </c>
      <c r="F80" s="3">
        <v>45</v>
      </c>
      <c r="G80" s="3">
        <v>12</v>
      </c>
      <c r="H80" s="3">
        <v>0.65745856353591159</v>
      </c>
      <c r="I80" s="3">
        <v>0.37815126050420172</v>
      </c>
      <c r="J80" s="3">
        <v>0.26666666666666672</v>
      </c>
      <c r="K80" s="3">
        <v>6.6298342541436461E-2</v>
      </c>
    </row>
    <row r="81" spans="1:11" x14ac:dyDescent="0.25">
      <c r="A81" s="2">
        <v>45681.73956594323</v>
      </c>
      <c r="B81" s="3" t="s">
        <v>16</v>
      </c>
      <c r="C81" s="3" t="s">
        <v>18</v>
      </c>
      <c r="D81" s="3">
        <v>504</v>
      </c>
      <c r="E81" s="3">
        <v>394</v>
      </c>
      <c r="F81" s="3">
        <v>126</v>
      </c>
      <c r="G81" s="3">
        <v>39</v>
      </c>
      <c r="H81" s="3">
        <v>0.78174603174603174</v>
      </c>
      <c r="I81" s="3">
        <v>0.31979695431472083</v>
      </c>
      <c r="J81" s="3">
        <v>0.30952380952380948</v>
      </c>
      <c r="K81" s="3">
        <v>7.7380952380952384E-2</v>
      </c>
    </row>
    <row r="82" spans="1:11" x14ac:dyDescent="0.25">
      <c r="A82" s="2">
        <v>45682.040066777961</v>
      </c>
      <c r="B82" s="3" t="s">
        <v>17</v>
      </c>
      <c r="C82" s="3" t="s">
        <v>18</v>
      </c>
      <c r="D82" s="3">
        <v>471</v>
      </c>
      <c r="E82" s="3">
        <v>333</v>
      </c>
      <c r="F82" s="3">
        <v>141</v>
      </c>
      <c r="G82" s="3">
        <v>94</v>
      </c>
      <c r="H82" s="3">
        <v>0.70700636942675155</v>
      </c>
      <c r="I82" s="3">
        <v>0.42342342342342337</v>
      </c>
      <c r="J82" s="3">
        <v>0.66666666666666663</v>
      </c>
      <c r="K82" s="3">
        <v>0.19957537154989391</v>
      </c>
    </row>
    <row r="83" spans="1:11" x14ac:dyDescent="0.25">
      <c r="A83" s="2">
        <v>45682.340567612693</v>
      </c>
      <c r="B83" s="3" t="s">
        <v>15</v>
      </c>
      <c r="C83" s="3" t="s">
        <v>12</v>
      </c>
      <c r="D83" s="3">
        <v>293</v>
      </c>
      <c r="E83" s="3">
        <v>211</v>
      </c>
      <c r="F83" s="3">
        <v>80</v>
      </c>
      <c r="G83" s="3">
        <v>32</v>
      </c>
      <c r="H83" s="3">
        <v>0.72013651877133111</v>
      </c>
      <c r="I83" s="3">
        <v>0.37914691943127959</v>
      </c>
      <c r="J83" s="3">
        <v>0.4</v>
      </c>
      <c r="K83" s="3">
        <v>0.1092150170648464</v>
      </c>
    </row>
    <row r="84" spans="1:11" x14ac:dyDescent="0.25">
      <c r="A84" s="2">
        <v>45682.64106844741</v>
      </c>
      <c r="B84" s="3" t="s">
        <v>11</v>
      </c>
      <c r="C84" s="3" t="s">
        <v>12</v>
      </c>
      <c r="D84" s="3">
        <v>167</v>
      </c>
      <c r="E84" s="3">
        <v>118</v>
      </c>
      <c r="F84" s="3">
        <v>50</v>
      </c>
      <c r="G84" s="3">
        <v>21</v>
      </c>
      <c r="H84" s="3">
        <v>0.70658682634730541</v>
      </c>
      <c r="I84" s="3">
        <v>0.42372881355932202</v>
      </c>
      <c r="J84" s="3">
        <v>0.42</v>
      </c>
      <c r="K84" s="3">
        <v>0.125748502994012</v>
      </c>
    </row>
    <row r="85" spans="1:11" x14ac:dyDescent="0.25">
      <c r="A85" s="2">
        <v>45682.941569282128</v>
      </c>
      <c r="B85" s="3" t="s">
        <v>16</v>
      </c>
      <c r="C85" s="3" t="s">
        <v>18</v>
      </c>
      <c r="D85" s="3">
        <v>632</v>
      </c>
      <c r="E85" s="3">
        <v>470</v>
      </c>
      <c r="F85" s="3">
        <v>142</v>
      </c>
      <c r="G85" s="3">
        <v>60</v>
      </c>
      <c r="H85" s="3">
        <v>0.74367088607594933</v>
      </c>
      <c r="I85" s="3">
        <v>0.30212765957446808</v>
      </c>
      <c r="J85" s="3">
        <v>0.42253521126760563</v>
      </c>
      <c r="K85" s="3">
        <v>9.49367088607595E-2</v>
      </c>
    </row>
    <row r="86" spans="1:11" x14ac:dyDescent="0.25">
      <c r="A86" s="2">
        <v>45683.242070116852</v>
      </c>
      <c r="B86" s="3" t="s">
        <v>11</v>
      </c>
      <c r="C86" s="3" t="s">
        <v>19</v>
      </c>
      <c r="D86" s="3">
        <v>480</v>
      </c>
      <c r="E86" s="3">
        <v>339</v>
      </c>
      <c r="F86" s="3">
        <v>149</v>
      </c>
      <c r="G86" s="3">
        <v>66</v>
      </c>
      <c r="H86" s="3">
        <v>0.70625000000000004</v>
      </c>
      <c r="I86" s="3">
        <v>0.43952802359881998</v>
      </c>
      <c r="J86" s="3">
        <v>0.44295302013422821</v>
      </c>
      <c r="K86" s="3">
        <v>0.13750000000000001</v>
      </c>
    </row>
    <row r="87" spans="1:11" x14ac:dyDescent="0.25">
      <c r="A87" s="2">
        <v>45683.542570951577</v>
      </c>
      <c r="B87" s="3" t="s">
        <v>11</v>
      </c>
      <c r="C87" s="3" t="s">
        <v>12</v>
      </c>
      <c r="D87" s="3">
        <v>125</v>
      </c>
      <c r="E87" s="3">
        <v>96</v>
      </c>
      <c r="F87" s="3">
        <v>14</v>
      </c>
      <c r="G87" s="3">
        <v>8</v>
      </c>
      <c r="H87" s="3">
        <v>0.76800000000000002</v>
      </c>
      <c r="I87" s="3">
        <v>0.14583333333333329</v>
      </c>
      <c r="J87" s="3">
        <v>0.5714285714285714</v>
      </c>
      <c r="K87" s="3">
        <v>6.4000000000000001E-2</v>
      </c>
    </row>
    <row r="88" spans="1:11" x14ac:dyDescent="0.25">
      <c r="A88" s="2">
        <v>45683.843071786308</v>
      </c>
      <c r="B88" s="3" t="s">
        <v>14</v>
      </c>
      <c r="C88" s="3" t="s">
        <v>12</v>
      </c>
      <c r="D88" s="3">
        <v>542</v>
      </c>
      <c r="E88" s="3">
        <v>406</v>
      </c>
      <c r="F88" s="3">
        <v>168</v>
      </c>
      <c r="G88" s="3">
        <v>52</v>
      </c>
      <c r="H88" s="3">
        <v>0.74907749077490771</v>
      </c>
      <c r="I88" s="3">
        <v>0.41379310344827591</v>
      </c>
      <c r="J88" s="3">
        <v>0.30952380952380948</v>
      </c>
      <c r="K88" s="3">
        <v>9.5940959409594101E-2</v>
      </c>
    </row>
    <row r="89" spans="1:11" x14ac:dyDescent="0.25">
      <c r="A89" s="2">
        <v>45684.143572621033</v>
      </c>
      <c r="B89" s="3" t="s">
        <v>15</v>
      </c>
      <c r="C89" s="3" t="s">
        <v>12</v>
      </c>
      <c r="D89" s="3">
        <v>389</v>
      </c>
      <c r="E89" s="3">
        <v>232</v>
      </c>
      <c r="F89" s="3">
        <v>70</v>
      </c>
      <c r="G89" s="3">
        <v>31</v>
      </c>
      <c r="H89" s="3">
        <v>0.59640102827763497</v>
      </c>
      <c r="I89" s="3">
        <v>0.30172413793103448</v>
      </c>
      <c r="J89" s="3">
        <v>0.44285714285714278</v>
      </c>
      <c r="K89" s="3">
        <v>7.9691516709511565E-2</v>
      </c>
    </row>
    <row r="90" spans="1:11" x14ac:dyDescent="0.25">
      <c r="A90" s="2">
        <v>45684.44407345575</v>
      </c>
      <c r="B90" s="3" t="s">
        <v>17</v>
      </c>
      <c r="C90" s="3" t="s">
        <v>18</v>
      </c>
      <c r="D90" s="3">
        <v>165</v>
      </c>
      <c r="E90" s="3">
        <v>129</v>
      </c>
      <c r="F90" s="3">
        <v>51</v>
      </c>
      <c r="G90" s="3">
        <v>14</v>
      </c>
      <c r="H90" s="3">
        <v>0.78181818181818186</v>
      </c>
      <c r="I90" s="3">
        <v>0.39534883720930231</v>
      </c>
      <c r="J90" s="3">
        <v>0.27450980392156871</v>
      </c>
      <c r="K90" s="3">
        <v>8.4848484848484854E-2</v>
      </c>
    </row>
    <row r="91" spans="1:11" x14ac:dyDescent="0.25">
      <c r="A91" s="2">
        <v>45684.744574290467</v>
      </c>
      <c r="B91" s="3" t="s">
        <v>15</v>
      </c>
      <c r="C91" s="3" t="s">
        <v>12</v>
      </c>
      <c r="D91" s="3">
        <v>171</v>
      </c>
      <c r="E91" s="3">
        <v>126</v>
      </c>
      <c r="F91" s="3">
        <v>41</v>
      </c>
      <c r="G91" s="3">
        <v>19</v>
      </c>
      <c r="H91" s="3">
        <v>0.73684210526315785</v>
      </c>
      <c r="I91" s="3">
        <v>0.32539682539682541</v>
      </c>
      <c r="J91" s="3">
        <v>0.46341463414634149</v>
      </c>
      <c r="K91" s="3">
        <v>0.1111111111111111</v>
      </c>
    </row>
    <row r="92" spans="1:11" x14ac:dyDescent="0.25">
      <c r="A92" s="2">
        <v>45685.045075125206</v>
      </c>
      <c r="B92" s="3" t="s">
        <v>16</v>
      </c>
      <c r="C92" s="3" t="s">
        <v>12</v>
      </c>
      <c r="D92" s="3">
        <v>321</v>
      </c>
      <c r="E92" s="3">
        <v>196</v>
      </c>
      <c r="F92" s="3">
        <v>55</v>
      </c>
      <c r="G92" s="3">
        <v>18</v>
      </c>
      <c r="H92" s="3">
        <v>0.61059190031152644</v>
      </c>
      <c r="I92" s="3">
        <v>0.28061224489795922</v>
      </c>
      <c r="J92" s="3">
        <v>0.32727272727272733</v>
      </c>
      <c r="K92" s="3">
        <v>5.6074766355140193E-2</v>
      </c>
    </row>
    <row r="93" spans="1:11" x14ac:dyDescent="0.25">
      <c r="A93" s="2">
        <v>45685.345575959931</v>
      </c>
      <c r="B93" s="3" t="s">
        <v>14</v>
      </c>
      <c r="C93" s="3" t="s">
        <v>29</v>
      </c>
      <c r="D93" s="3">
        <v>81</v>
      </c>
      <c r="E93" s="3">
        <v>42</v>
      </c>
      <c r="F93" s="3">
        <v>13</v>
      </c>
      <c r="G93" s="3">
        <v>5</v>
      </c>
      <c r="H93" s="3">
        <v>0.51851851851851849</v>
      </c>
      <c r="I93" s="3">
        <v>0.30952380952380948</v>
      </c>
      <c r="J93" s="3">
        <v>0.38461538461538458</v>
      </c>
      <c r="K93" s="3">
        <v>6.1728395061728392E-2</v>
      </c>
    </row>
    <row r="94" spans="1:11" x14ac:dyDescent="0.25">
      <c r="A94" s="2">
        <v>45685.646076794663</v>
      </c>
      <c r="B94" s="3" t="s">
        <v>17</v>
      </c>
      <c r="C94" s="3" t="s">
        <v>12</v>
      </c>
      <c r="D94" s="3">
        <v>304</v>
      </c>
      <c r="E94" s="3">
        <v>226</v>
      </c>
      <c r="F94" s="3">
        <v>84</v>
      </c>
      <c r="G94" s="3">
        <v>40</v>
      </c>
      <c r="H94" s="3">
        <v>0.74342105263157898</v>
      </c>
      <c r="I94" s="3">
        <v>0.37168141592920362</v>
      </c>
      <c r="J94" s="3">
        <v>0.47619047619047622</v>
      </c>
      <c r="K94" s="3">
        <v>0.13157894736842099</v>
      </c>
    </row>
    <row r="95" spans="1:11" x14ac:dyDescent="0.25">
      <c r="A95" s="2">
        <v>45685.946577629373</v>
      </c>
      <c r="B95" s="3" t="s">
        <v>15</v>
      </c>
      <c r="C95" s="3" t="s">
        <v>12</v>
      </c>
      <c r="D95" s="3">
        <v>195</v>
      </c>
      <c r="E95" s="3">
        <v>121</v>
      </c>
      <c r="F95" s="3">
        <v>48</v>
      </c>
      <c r="G95" s="3">
        <v>22</v>
      </c>
      <c r="H95" s="3">
        <v>0.62051282051282053</v>
      </c>
      <c r="I95" s="3">
        <v>0.39669421487603312</v>
      </c>
      <c r="J95" s="3">
        <v>0.45833333333333331</v>
      </c>
      <c r="K95" s="3">
        <v>0.11282051282051279</v>
      </c>
    </row>
    <row r="96" spans="1:11" x14ac:dyDescent="0.25">
      <c r="A96" s="2">
        <v>45686.247078464097</v>
      </c>
      <c r="B96" s="3" t="s">
        <v>17</v>
      </c>
      <c r="C96" s="3" t="s">
        <v>12</v>
      </c>
      <c r="D96" s="3">
        <v>182</v>
      </c>
      <c r="E96" s="3">
        <v>111</v>
      </c>
      <c r="F96" s="3">
        <v>38</v>
      </c>
      <c r="G96" s="3">
        <v>10</v>
      </c>
      <c r="H96" s="3">
        <v>0.60989010989010994</v>
      </c>
      <c r="I96" s="3">
        <v>0.34234234234234229</v>
      </c>
      <c r="J96" s="3">
        <v>0.26315789473684209</v>
      </c>
      <c r="K96" s="3">
        <v>5.4945054945054937E-2</v>
      </c>
    </row>
    <row r="97" spans="1:11" x14ac:dyDescent="0.25">
      <c r="A97" s="2">
        <v>45686.547579298829</v>
      </c>
      <c r="B97" s="3" t="s">
        <v>15</v>
      </c>
      <c r="C97" s="3" t="s">
        <v>18</v>
      </c>
      <c r="D97" s="3">
        <v>273</v>
      </c>
      <c r="E97" s="3">
        <v>148</v>
      </c>
      <c r="F97" s="3">
        <v>55</v>
      </c>
      <c r="G97" s="3">
        <v>25</v>
      </c>
      <c r="H97" s="3">
        <v>0.54212454212454209</v>
      </c>
      <c r="I97" s="3">
        <v>0.3716216216216216</v>
      </c>
      <c r="J97" s="3">
        <v>0.45454545454545447</v>
      </c>
      <c r="K97" s="3">
        <v>9.1575091575091569E-2</v>
      </c>
    </row>
    <row r="98" spans="1:11" x14ac:dyDescent="0.25">
      <c r="A98" s="2">
        <v>45686.848080133554</v>
      </c>
      <c r="B98" s="3" t="s">
        <v>15</v>
      </c>
      <c r="C98" s="3" t="s">
        <v>12</v>
      </c>
      <c r="D98" s="3">
        <v>245</v>
      </c>
      <c r="E98" s="3">
        <v>149</v>
      </c>
      <c r="F98" s="3">
        <v>48</v>
      </c>
      <c r="G98" s="3">
        <v>13</v>
      </c>
      <c r="H98" s="3">
        <v>0.60816326530612241</v>
      </c>
      <c r="I98" s="3">
        <v>0.32214765100671139</v>
      </c>
      <c r="J98" s="3">
        <v>0.27083333333333331</v>
      </c>
      <c r="K98" s="3">
        <v>5.3061224489795923E-2</v>
      </c>
    </row>
    <row r="99" spans="1:11" x14ac:dyDescent="0.25">
      <c r="A99" s="2">
        <v>45687.148580968278</v>
      </c>
      <c r="B99" s="3" t="s">
        <v>11</v>
      </c>
      <c r="C99" s="3" t="s">
        <v>18</v>
      </c>
      <c r="D99" s="3">
        <v>169</v>
      </c>
      <c r="E99" s="3">
        <v>122</v>
      </c>
      <c r="F99" s="3">
        <v>29</v>
      </c>
      <c r="G99" s="3">
        <v>17</v>
      </c>
      <c r="H99" s="3">
        <v>0.72189349112426038</v>
      </c>
      <c r="I99" s="3">
        <v>0.2377049180327869</v>
      </c>
      <c r="J99" s="3">
        <v>0.58620689655172409</v>
      </c>
      <c r="K99" s="3">
        <v>0.1005917159763314</v>
      </c>
    </row>
    <row r="100" spans="1:11" x14ac:dyDescent="0.25">
      <c r="A100" s="2">
        <v>45687.449081803003</v>
      </c>
      <c r="B100" s="3" t="s">
        <v>16</v>
      </c>
      <c r="C100" s="3" t="s">
        <v>12</v>
      </c>
      <c r="D100" s="3">
        <v>201</v>
      </c>
      <c r="E100" s="3">
        <v>148</v>
      </c>
      <c r="F100" s="3">
        <v>42</v>
      </c>
      <c r="G100" s="3">
        <v>13</v>
      </c>
      <c r="H100" s="3">
        <v>0.73631840796019898</v>
      </c>
      <c r="I100" s="3">
        <v>0.28378378378378383</v>
      </c>
      <c r="J100" s="3">
        <v>0.30952380952380948</v>
      </c>
      <c r="K100" s="3">
        <v>6.4676616915422883E-2</v>
      </c>
    </row>
    <row r="101" spans="1:11" x14ac:dyDescent="0.25">
      <c r="A101" s="2">
        <v>45687.74958263772</v>
      </c>
      <c r="B101" s="3" t="s">
        <v>16</v>
      </c>
      <c r="C101" s="3" t="s">
        <v>12</v>
      </c>
      <c r="D101" s="3">
        <v>222</v>
      </c>
      <c r="E101" s="3">
        <v>147</v>
      </c>
      <c r="F101" s="3">
        <v>36</v>
      </c>
      <c r="G101" s="3">
        <v>14</v>
      </c>
      <c r="H101" s="3">
        <v>0.66216216216216217</v>
      </c>
      <c r="I101" s="3">
        <v>0.24489795918367349</v>
      </c>
      <c r="J101" s="3">
        <v>0.3888888888888889</v>
      </c>
      <c r="K101" s="3">
        <v>6.3063063063063057E-2</v>
      </c>
    </row>
    <row r="102" spans="1:11" x14ac:dyDescent="0.25">
      <c r="A102" s="2">
        <v>45688.050083472452</v>
      </c>
      <c r="B102" s="3" t="s">
        <v>16</v>
      </c>
      <c r="C102" s="3" t="s">
        <v>12</v>
      </c>
      <c r="D102" s="3">
        <v>185</v>
      </c>
      <c r="E102" s="3">
        <v>115</v>
      </c>
      <c r="F102" s="3">
        <v>47</v>
      </c>
      <c r="G102" s="3">
        <v>27</v>
      </c>
      <c r="H102" s="3">
        <v>0.6216216216216216</v>
      </c>
      <c r="I102" s="3">
        <v>0.40869565217391313</v>
      </c>
      <c r="J102" s="3">
        <v>0.57446808510638303</v>
      </c>
      <c r="K102" s="3">
        <v>0.14594594594594601</v>
      </c>
    </row>
    <row r="103" spans="1:11" x14ac:dyDescent="0.25">
      <c r="A103" s="2">
        <v>45688.350584307183</v>
      </c>
      <c r="B103" s="3" t="s">
        <v>15</v>
      </c>
      <c r="C103" s="3" t="s">
        <v>12</v>
      </c>
      <c r="D103" s="3">
        <v>507</v>
      </c>
      <c r="E103" s="3">
        <v>397</v>
      </c>
      <c r="F103" s="3">
        <v>139</v>
      </c>
      <c r="G103" s="3">
        <v>56</v>
      </c>
      <c r="H103" s="3">
        <v>0.78303747534516766</v>
      </c>
      <c r="I103" s="3">
        <v>0.3501259445843829</v>
      </c>
      <c r="J103" s="3">
        <v>0.40287769784172661</v>
      </c>
      <c r="K103" s="3">
        <v>0.1104536489151874</v>
      </c>
    </row>
    <row r="104" spans="1:11" x14ac:dyDescent="0.25">
      <c r="A104" s="2">
        <v>45688.651085141901</v>
      </c>
      <c r="B104" s="3" t="s">
        <v>11</v>
      </c>
      <c r="C104" s="3" t="s">
        <v>12</v>
      </c>
      <c r="D104" s="3">
        <v>384</v>
      </c>
      <c r="E104" s="3">
        <v>274</v>
      </c>
      <c r="F104" s="3">
        <v>84</v>
      </c>
      <c r="G104" s="3">
        <v>19</v>
      </c>
      <c r="H104" s="3">
        <v>0.71354166666666663</v>
      </c>
      <c r="I104" s="3">
        <v>0.30656934306569339</v>
      </c>
      <c r="J104" s="3">
        <v>0.22619047619047619</v>
      </c>
      <c r="K104" s="3">
        <v>4.9479166666666657E-2</v>
      </c>
    </row>
    <row r="105" spans="1:11" x14ac:dyDescent="0.25">
      <c r="A105" s="2">
        <v>45688.951585976618</v>
      </c>
      <c r="B105" s="3" t="s">
        <v>15</v>
      </c>
      <c r="C105" s="3" t="s">
        <v>12</v>
      </c>
      <c r="D105" s="3">
        <v>396</v>
      </c>
      <c r="E105" s="3">
        <v>282</v>
      </c>
      <c r="F105" s="3">
        <v>108</v>
      </c>
      <c r="G105" s="3">
        <v>36</v>
      </c>
      <c r="H105" s="3">
        <v>0.71212121212121215</v>
      </c>
      <c r="I105" s="3">
        <v>0.38297872340425532</v>
      </c>
      <c r="J105" s="3">
        <v>0.33333333333333331</v>
      </c>
      <c r="K105" s="3">
        <v>9.0909090909090912E-2</v>
      </c>
    </row>
    <row r="106" spans="1:11" x14ac:dyDescent="0.25">
      <c r="A106" s="2">
        <v>45689.252086811342</v>
      </c>
      <c r="B106" s="3" t="s">
        <v>17</v>
      </c>
      <c r="C106" s="3" t="s">
        <v>12</v>
      </c>
      <c r="D106" s="3">
        <v>88</v>
      </c>
      <c r="E106" s="3">
        <v>58</v>
      </c>
      <c r="F106" s="3">
        <v>16</v>
      </c>
      <c r="G106" s="3">
        <v>5</v>
      </c>
      <c r="H106" s="3">
        <v>0.65909090909090906</v>
      </c>
      <c r="I106" s="3">
        <v>0.27586206896551718</v>
      </c>
      <c r="J106" s="3">
        <v>0.3125</v>
      </c>
      <c r="K106" s="3">
        <v>5.6818181818181823E-2</v>
      </c>
    </row>
    <row r="107" spans="1:11" x14ac:dyDescent="0.25">
      <c r="A107" s="2">
        <v>45689.552587646067</v>
      </c>
      <c r="B107" s="3" t="s">
        <v>16</v>
      </c>
      <c r="C107" s="3" t="s">
        <v>19</v>
      </c>
      <c r="D107" s="3">
        <v>152</v>
      </c>
      <c r="E107" s="3">
        <v>119</v>
      </c>
      <c r="F107" s="3">
        <v>45</v>
      </c>
      <c r="G107" s="3">
        <v>17</v>
      </c>
      <c r="H107" s="3">
        <v>0.78289473684210531</v>
      </c>
      <c r="I107" s="3">
        <v>0.37815126050420172</v>
      </c>
      <c r="J107" s="3">
        <v>0.37777777777777782</v>
      </c>
      <c r="K107" s="3">
        <v>0.1118421052631579</v>
      </c>
    </row>
    <row r="108" spans="1:11" x14ac:dyDescent="0.25">
      <c r="A108" s="2">
        <v>45689.853088480799</v>
      </c>
      <c r="B108" s="3" t="s">
        <v>11</v>
      </c>
      <c r="C108" s="3" t="s">
        <v>12</v>
      </c>
      <c r="D108" s="3">
        <v>438</v>
      </c>
      <c r="E108" s="3">
        <v>286</v>
      </c>
      <c r="F108" s="3">
        <v>84</v>
      </c>
      <c r="G108" s="3">
        <v>43</v>
      </c>
      <c r="H108" s="3">
        <v>0.65296803652968038</v>
      </c>
      <c r="I108" s="3">
        <v>0.2937062937062937</v>
      </c>
      <c r="J108" s="3">
        <v>0.51190476190476186</v>
      </c>
      <c r="K108" s="3">
        <v>9.8173515981735154E-2</v>
      </c>
    </row>
    <row r="109" spans="1:11" x14ac:dyDescent="0.25">
      <c r="A109" s="2">
        <v>45690.153589315523</v>
      </c>
      <c r="B109" s="3" t="s">
        <v>14</v>
      </c>
      <c r="C109" s="3" t="s">
        <v>18</v>
      </c>
      <c r="D109" s="3">
        <v>302</v>
      </c>
      <c r="E109" s="3">
        <v>198</v>
      </c>
      <c r="F109" s="3">
        <v>42</v>
      </c>
      <c r="G109" s="3">
        <v>30</v>
      </c>
      <c r="H109" s="3">
        <v>0.6556291390728477</v>
      </c>
      <c r="I109" s="3">
        <v>0.2121212121212121</v>
      </c>
      <c r="J109" s="3">
        <v>0.7142857142857143</v>
      </c>
      <c r="K109" s="3">
        <v>9.9337748344370855E-2</v>
      </c>
    </row>
    <row r="110" spans="1:11" x14ac:dyDescent="0.25">
      <c r="A110" s="2">
        <v>45690.454090150241</v>
      </c>
      <c r="B110" s="3" t="s">
        <v>16</v>
      </c>
      <c r="C110" s="3" t="s">
        <v>12</v>
      </c>
      <c r="D110" s="3">
        <v>495</v>
      </c>
      <c r="E110" s="3">
        <v>355</v>
      </c>
      <c r="F110" s="3">
        <v>107</v>
      </c>
      <c r="G110" s="3">
        <v>62</v>
      </c>
      <c r="H110" s="3">
        <v>0.71717171717171713</v>
      </c>
      <c r="I110" s="3">
        <v>0.30140845070422528</v>
      </c>
      <c r="J110" s="3">
        <v>0.57943925233644855</v>
      </c>
      <c r="K110" s="3">
        <v>0.12525252525252531</v>
      </c>
    </row>
    <row r="111" spans="1:11" x14ac:dyDescent="0.25">
      <c r="A111" s="2">
        <v>45690.754590984972</v>
      </c>
      <c r="B111" s="3" t="s">
        <v>16</v>
      </c>
      <c r="C111" s="3" t="s">
        <v>18</v>
      </c>
      <c r="D111" s="3">
        <v>632</v>
      </c>
      <c r="E111" s="3">
        <v>479</v>
      </c>
      <c r="F111" s="3">
        <v>208</v>
      </c>
      <c r="G111" s="3">
        <v>125</v>
      </c>
      <c r="H111" s="3">
        <v>0.75791139240506333</v>
      </c>
      <c r="I111" s="3">
        <v>0.43423799582463468</v>
      </c>
      <c r="J111" s="3">
        <v>0.60096153846153844</v>
      </c>
      <c r="K111" s="3">
        <v>0.19778481012658231</v>
      </c>
    </row>
    <row r="112" spans="1:11" x14ac:dyDescent="0.25">
      <c r="A112" s="2">
        <v>45691.055091819697</v>
      </c>
      <c r="B112" s="3" t="s">
        <v>11</v>
      </c>
      <c r="C112" s="3" t="s">
        <v>18</v>
      </c>
      <c r="D112" s="3">
        <v>449</v>
      </c>
      <c r="E112" s="3">
        <v>352</v>
      </c>
      <c r="F112" s="3">
        <v>136</v>
      </c>
      <c r="G112" s="3">
        <v>90</v>
      </c>
      <c r="H112" s="3">
        <v>0.78396436525612467</v>
      </c>
      <c r="I112" s="3">
        <v>0.38636363636363641</v>
      </c>
      <c r="J112" s="3">
        <v>0.66176470588235292</v>
      </c>
      <c r="K112" s="3">
        <v>0.200445434298441</v>
      </c>
    </row>
    <row r="113" spans="1:11" x14ac:dyDescent="0.25">
      <c r="A113" s="2">
        <v>45691.355592654421</v>
      </c>
      <c r="B113" s="3" t="s">
        <v>16</v>
      </c>
      <c r="C113" s="3" t="s">
        <v>18</v>
      </c>
      <c r="D113" s="3">
        <v>343</v>
      </c>
      <c r="E113" s="3">
        <v>275</v>
      </c>
      <c r="F113" s="3">
        <v>96</v>
      </c>
      <c r="G113" s="3">
        <v>33</v>
      </c>
      <c r="H113" s="3">
        <v>0.80174927113702621</v>
      </c>
      <c r="I113" s="3">
        <v>0.34909090909090912</v>
      </c>
      <c r="J113" s="3">
        <v>0.34375</v>
      </c>
      <c r="K113" s="3">
        <v>9.6209912536443148E-2</v>
      </c>
    </row>
    <row r="114" spans="1:11" x14ac:dyDescent="0.25">
      <c r="A114" s="2">
        <v>45691.656093489153</v>
      </c>
      <c r="B114" s="3" t="s">
        <v>13</v>
      </c>
      <c r="C114" s="3" t="s">
        <v>12</v>
      </c>
      <c r="D114" s="3">
        <v>397</v>
      </c>
      <c r="E114" s="3">
        <v>332</v>
      </c>
      <c r="F114" s="3">
        <v>97</v>
      </c>
      <c r="G114" s="3">
        <v>29</v>
      </c>
      <c r="H114" s="3">
        <v>0.83627204030226698</v>
      </c>
      <c r="I114" s="3">
        <v>0.29216867469879521</v>
      </c>
      <c r="J114" s="3">
        <v>0.29896907216494839</v>
      </c>
      <c r="K114" s="3">
        <v>7.3047858942065488E-2</v>
      </c>
    </row>
    <row r="115" spans="1:11" x14ac:dyDescent="0.25">
      <c r="A115" s="2">
        <v>45691.956594323863</v>
      </c>
      <c r="B115" s="3" t="s">
        <v>17</v>
      </c>
      <c r="C115" s="3" t="s">
        <v>12</v>
      </c>
      <c r="D115" s="3">
        <v>163</v>
      </c>
      <c r="E115" s="3">
        <v>106</v>
      </c>
      <c r="F115" s="3">
        <v>19</v>
      </c>
      <c r="G115" s="3">
        <v>9</v>
      </c>
      <c r="H115" s="3">
        <v>0.65030674846625769</v>
      </c>
      <c r="I115" s="3">
        <v>0.17924528301886791</v>
      </c>
      <c r="J115" s="3">
        <v>0.47368421052631582</v>
      </c>
      <c r="K115" s="3">
        <v>5.5214723926380369E-2</v>
      </c>
    </row>
    <row r="116" spans="1:11" x14ac:dyDescent="0.25">
      <c r="A116" s="2">
        <v>45692.257095158588</v>
      </c>
      <c r="B116" s="3" t="s">
        <v>15</v>
      </c>
      <c r="C116" s="3" t="s">
        <v>12</v>
      </c>
      <c r="D116" s="3">
        <v>397</v>
      </c>
      <c r="E116" s="3">
        <v>295</v>
      </c>
      <c r="F116" s="3">
        <v>66</v>
      </c>
      <c r="G116" s="3">
        <v>38</v>
      </c>
      <c r="H116" s="3">
        <v>0.74307304785894202</v>
      </c>
      <c r="I116" s="3">
        <v>0.223728813559322</v>
      </c>
      <c r="J116" s="3">
        <v>0.5757575757575758</v>
      </c>
      <c r="K116" s="3">
        <v>9.5717884130982367E-2</v>
      </c>
    </row>
    <row r="117" spans="1:11" x14ac:dyDescent="0.25">
      <c r="A117" s="2">
        <v>45692.557595993319</v>
      </c>
      <c r="B117" s="3" t="s">
        <v>17</v>
      </c>
      <c r="C117" s="3" t="s">
        <v>19</v>
      </c>
      <c r="D117" s="3">
        <v>190</v>
      </c>
      <c r="E117" s="3">
        <v>117</v>
      </c>
      <c r="F117" s="3">
        <v>29</v>
      </c>
      <c r="G117" s="3">
        <v>17</v>
      </c>
      <c r="H117" s="3">
        <v>0.61578947368421055</v>
      </c>
      <c r="I117" s="3">
        <v>0.2478632478632479</v>
      </c>
      <c r="J117" s="3">
        <v>0.58620689655172409</v>
      </c>
      <c r="K117" s="3">
        <v>8.9473684210526316E-2</v>
      </c>
    </row>
    <row r="118" spans="1:11" x14ac:dyDescent="0.25">
      <c r="A118" s="2">
        <v>45692.858096828037</v>
      </c>
      <c r="B118" s="3" t="s">
        <v>17</v>
      </c>
      <c r="C118" s="3" t="s">
        <v>18</v>
      </c>
      <c r="D118" s="3">
        <v>330</v>
      </c>
      <c r="E118" s="3">
        <v>233</v>
      </c>
      <c r="F118" s="3">
        <v>54</v>
      </c>
      <c r="G118" s="3">
        <v>22</v>
      </c>
      <c r="H118" s="3">
        <v>0.70606060606060606</v>
      </c>
      <c r="I118" s="3">
        <v>0.23175965665236051</v>
      </c>
      <c r="J118" s="3">
        <v>0.40740740740740738</v>
      </c>
      <c r="K118" s="3">
        <v>6.6666666666666666E-2</v>
      </c>
    </row>
    <row r="119" spans="1:11" x14ac:dyDescent="0.25">
      <c r="A119" s="2">
        <v>45693.158597662768</v>
      </c>
      <c r="B119" s="3" t="s">
        <v>16</v>
      </c>
      <c r="C119" s="3" t="s">
        <v>19</v>
      </c>
      <c r="D119" s="3">
        <v>462</v>
      </c>
      <c r="E119" s="3">
        <v>265</v>
      </c>
      <c r="F119" s="3">
        <v>55</v>
      </c>
      <c r="G119" s="3">
        <v>30</v>
      </c>
      <c r="H119" s="3">
        <v>0.57359307359307354</v>
      </c>
      <c r="I119" s="3">
        <v>0.20754716981132079</v>
      </c>
      <c r="J119" s="3">
        <v>0.54545454545454541</v>
      </c>
      <c r="K119" s="3">
        <v>6.4935064935064929E-2</v>
      </c>
    </row>
    <row r="120" spans="1:11" x14ac:dyDescent="0.25">
      <c r="A120" s="2">
        <v>45693.459098497493</v>
      </c>
      <c r="B120" s="3" t="s">
        <v>17</v>
      </c>
      <c r="C120" s="3" t="s">
        <v>12</v>
      </c>
      <c r="D120" s="3">
        <v>86</v>
      </c>
      <c r="E120" s="3">
        <v>57</v>
      </c>
      <c r="F120" s="3">
        <v>11</v>
      </c>
      <c r="G120" s="3">
        <v>4</v>
      </c>
      <c r="H120" s="3">
        <v>0.66279069767441856</v>
      </c>
      <c r="I120" s="3">
        <v>0.19298245614035089</v>
      </c>
      <c r="J120" s="3">
        <v>0.36363636363636359</v>
      </c>
      <c r="K120" s="3">
        <v>4.6511627906976737E-2</v>
      </c>
    </row>
    <row r="121" spans="1:11" x14ac:dyDescent="0.25">
      <c r="A121" s="2">
        <v>45693.75959933221</v>
      </c>
      <c r="B121" s="3" t="s">
        <v>15</v>
      </c>
      <c r="C121" s="3" t="s">
        <v>18</v>
      </c>
      <c r="D121" s="3">
        <v>538</v>
      </c>
      <c r="E121" s="3">
        <v>394</v>
      </c>
      <c r="F121" s="3">
        <v>85</v>
      </c>
      <c r="G121" s="3">
        <v>26</v>
      </c>
      <c r="H121" s="3">
        <v>0.73234200743494426</v>
      </c>
      <c r="I121" s="3">
        <v>0.21573604060913709</v>
      </c>
      <c r="J121" s="3">
        <v>0.30588235294117649</v>
      </c>
      <c r="K121" s="3">
        <v>4.8327137546468397E-2</v>
      </c>
    </row>
    <row r="122" spans="1:11" x14ac:dyDescent="0.25">
      <c r="A122" s="2">
        <v>45694.060100166942</v>
      </c>
      <c r="B122" s="3" t="s">
        <v>17</v>
      </c>
      <c r="C122" s="3" t="s">
        <v>19</v>
      </c>
      <c r="D122" s="3">
        <v>163</v>
      </c>
      <c r="E122" s="3">
        <v>88</v>
      </c>
      <c r="F122" s="3">
        <v>29</v>
      </c>
      <c r="G122" s="3">
        <v>10</v>
      </c>
      <c r="H122" s="3">
        <v>0.53987730061349692</v>
      </c>
      <c r="I122" s="3">
        <v>0.32954545454545447</v>
      </c>
      <c r="J122" s="3">
        <v>0.34482758620689657</v>
      </c>
      <c r="K122" s="3">
        <v>6.1349693251533742E-2</v>
      </c>
    </row>
    <row r="123" spans="1:11" x14ac:dyDescent="0.25">
      <c r="A123" s="2">
        <v>45694.360601001667</v>
      </c>
      <c r="B123" s="3" t="s">
        <v>17</v>
      </c>
      <c r="C123" s="3" t="s">
        <v>12</v>
      </c>
      <c r="D123" s="3">
        <v>287</v>
      </c>
      <c r="E123" s="3">
        <v>191</v>
      </c>
      <c r="F123" s="3">
        <v>63</v>
      </c>
      <c r="G123" s="3">
        <v>20</v>
      </c>
      <c r="H123" s="3">
        <v>0.66550522648083621</v>
      </c>
      <c r="I123" s="3">
        <v>0.32984293193717279</v>
      </c>
      <c r="J123" s="3">
        <v>0.31746031746031739</v>
      </c>
      <c r="K123" s="3">
        <v>6.968641114982578E-2</v>
      </c>
    </row>
    <row r="124" spans="1:11" x14ac:dyDescent="0.25">
      <c r="A124" s="2">
        <v>45694.661101836391</v>
      </c>
      <c r="B124" s="3" t="s">
        <v>11</v>
      </c>
      <c r="C124" s="3" t="s">
        <v>12</v>
      </c>
      <c r="D124" s="3">
        <v>469</v>
      </c>
      <c r="E124" s="3">
        <v>277</v>
      </c>
      <c r="F124" s="3">
        <v>110</v>
      </c>
      <c r="G124" s="3">
        <v>48</v>
      </c>
      <c r="H124" s="3">
        <v>0.59061833688699361</v>
      </c>
      <c r="I124" s="3">
        <v>0.3971119133574007</v>
      </c>
      <c r="J124" s="3">
        <v>0.43636363636363629</v>
      </c>
      <c r="K124" s="3">
        <v>0.1023454157782516</v>
      </c>
    </row>
    <row r="125" spans="1:11" x14ac:dyDescent="0.25">
      <c r="A125" s="2">
        <v>45694.961602671108</v>
      </c>
      <c r="B125" s="3" t="s">
        <v>16</v>
      </c>
      <c r="C125" s="3" t="s">
        <v>18</v>
      </c>
      <c r="D125" s="3">
        <v>393</v>
      </c>
      <c r="E125" s="3">
        <v>237</v>
      </c>
      <c r="F125" s="3">
        <v>66</v>
      </c>
      <c r="G125" s="3">
        <v>23</v>
      </c>
      <c r="H125" s="3">
        <v>0.60305343511450382</v>
      </c>
      <c r="I125" s="3">
        <v>0.27848101265822778</v>
      </c>
      <c r="J125" s="3">
        <v>0.34848484848484851</v>
      </c>
      <c r="K125" s="3">
        <v>5.8524173027989818E-2</v>
      </c>
    </row>
    <row r="126" spans="1:11" x14ac:dyDescent="0.25">
      <c r="A126" s="2">
        <v>45695.262103505833</v>
      </c>
      <c r="B126" s="3" t="s">
        <v>16</v>
      </c>
      <c r="C126" s="3" t="s">
        <v>12</v>
      </c>
      <c r="D126" s="3">
        <v>101</v>
      </c>
      <c r="E126" s="3">
        <v>69</v>
      </c>
      <c r="F126" s="3">
        <v>18</v>
      </c>
      <c r="G126" s="3">
        <v>7</v>
      </c>
      <c r="H126" s="3">
        <v>0.68316831683168322</v>
      </c>
      <c r="I126" s="3">
        <v>0.2608695652173913</v>
      </c>
      <c r="J126" s="3">
        <v>0.3888888888888889</v>
      </c>
      <c r="K126" s="3">
        <v>6.9306930693069313E-2</v>
      </c>
    </row>
    <row r="127" spans="1:11" x14ac:dyDescent="0.25">
      <c r="A127" s="2">
        <v>45695.562604340557</v>
      </c>
      <c r="B127" s="3" t="s">
        <v>11</v>
      </c>
      <c r="C127" s="3" t="s">
        <v>18</v>
      </c>
      <c r="D127" s="3">
        <v>489</v>
      </c>
      <c r="E127" s="3">
        <v>328</v>
      </c>
      <c r="F127" s="3">
        <v>89</v>
      </c>
      <c r="G127" s="3">
        <v>30</v>
      </c>
      <c r="H127" s="3">
        <v>0.67075664621676889</v>
      </c>
      <c r="I127" s="3">
        <v>0.27134146341463422</v>
      </c>
      <c r="J127" s="3">
        <v>0.33707865168539319</v>
      </c>
      <c r="K127" s="3">
        <v>6.1349693251533742E-2</v>
      </c>
    </row>
    <row r="128" spans="1:11" x14ac:dyDescent="0.25">
      <c r="A128" s="2">
        <v>45695.863105175289</v>
      </c>
      <c r="B128" s="3" t="s">
        <v>17</v>
      </c>
      <c r="C128" s="3" t="s">
        <v>12</v>
      </c>
      <c r="D128" s="3">
        <v>594</v>
      </c>
      <c r="E128" s="3">
        <v>322</v>
      </c>
      <c r="F128" s="3">
        <v>75</v>
      </c>
      <c r="G128" s="3">
        <v>33</v>
      </c>
      <c r="H128" s="3">
        <v>0.54208754208754206</v>
      </c>
      <c r="I128" s="3">
        <v>0.23291925465838509</v>
      </c>
      <c r="J128" s="3">
        <v>0.44</v>
      </c>
      <c r="K128" s="3">
        <v>5.5555555555555552E-2</v>
      </c>
    </row>
    <row r="129" spans="1:11" x14ac:dyDescent="0.25">
      <c r="A129" s="2">
        <v>45696.163606010014</v>
      </c>
      <c r="B129" s="3" t="s">
        <v>17</v>
      </c>
      <c r="C129" s="3" t="s">
        <v>18</v>
      </c>
      <c r="D129" s="3">
        <v>206</v>
      </c>
      <c r="E129" s="3">
        <v>117</v>
      </c>
      <c r="F129" s="3">
        <v>49</v>
      </c>
      <c r="G129" s="3">
        <v>20</v>
      </c>
      <c r="H129" s="3">
        <v>0.56796116504854366</v>
      </c>
      <c r="I129" s="3">
        <v>0.41880341880341881</v>
      </c>
      <c r="J129" s="3">
        <v>0.40816326530612251</v>
      </c>
      <c r="K129" s="3">
        <v>9.7087378640776698E-2</v>
      </c>
    </row>
    <row r="130" spans="1:11" x14ac:dyDescent="0.25">
      <c r="A130" s="2">
        <v>45696.464106844731</v>
      </c>
      <c r="B130" s="3" t="s">
        <v>16</v>
      </c>
      <c r="C130" s="3" t="s">
        <v>12</v>
      </c>
      <c r="D130" s="3">
        <v>93</v>
      </c>
      <c r="E130" s="3">
        <v>51</v>
      </c>
      <c r="F130" s="3">
        <v>17</v>
      </c>
      <c r="G130" s="3">
        <v>10</v>
      </c>
      <c r="H130" s="3">
        <v>0.54838709677419351</v>
      </c>
      <c r="I130" s="3">
        <v>0.33333333333333331</v>
      </c>
      <c r="J130" s="3">
        <v>0.58823529411764708</v>
      </c>
      <c r="K130" s="3">
        <v>0.1075268817204301</v>
      </c>
    </row>
    <row r="131" spans="1:11" x14ac:dyDescent="0.25">
      <c r="A131" s="2">
        <v>45696.764607679463</v>
      </c>
      <c r="B131" s="3" t="s">
        <v>15</v>
      </c>
      <c r="C131" s="3" t="s">
        <v>12</v>
      </c>
      <c r="D131" s="3">
        <v>91</v>
      </c>
      <c r="E131" s="3">
        <v>69</v>
      </c>
      <c r="F131" s="3">
        <v>10</v>
      </c>
      <c r="G131" s="3">
        <v>3</v>
      </c>
      <c r="H131" s="3">
        <v>0.75824175824175821</v>
      </c>
      <c r="I131" s="3">
        <v>0.14492753623188409</v>
      </c>
      <c r="J131" s="3">
        <v>0.3</v>
      </c>
      <c r="K131" s="3">
        <v>3.2967032967032968E-2</v>
      </c>
    </row>
    <row r="132" spans="1:11" x14ac:dyDescent="0.25">
      <c r="A132" s="2">
        <v>45697.065108514187</v>
      </c>
      <c r="B132" s="3" t="s">
        <v>11</v>
      </c>
      <c r="C132" s="3" t="s">
        <v>12</v>
      </c>
      <c r="D132" s="3">
        <v>166</v>
      </c>
      <c r="E132" s="3">
        <v>83</v>
      </c>
      <c r="F132" s="3">
        <v>25</v>
      </c>
      <c r="G132" s="3">
        <v>14</v>
      </c>
      <c r="H132" s="3">
        <v>0.5</v>
      </c>
      <c r="I132" s="3">
        <v>0.30120481927710852</v>
      </c>
      <c r="J132" s="3">
        <v>0.56000000000000005</v>
      </c>
      <c r="K132" s="3">
        <v>8.4337349397590355E-2</v>
      </c>
    </row>
    <row r="133" spans="1:11" x14ac:dyDescent="0.25">
      <c r="A133" s="2">
        <v>45697.365609348912</v>
      </c>
      <c r="B133" s="3" t="s">
        <v>16</v>
      </c>
      <c r="C133" s="3" t="s">
        <v>18</v>
      </c>
      <c r="D133" s="3">
        <v>603</v>
      </c>
      <c r="E133" s="3">
        <v>487</v>
      </c>
      <c r="F133" s="3">
        <v>158</v>
      </c>
      <c r="G133" s="3">
        <v>66</v>
      </c>
      <c r="H133" s="3">
        <v>0.80762852404643448</v>
      </c>
      <c r="I133" s="3">
        <v>0.32443531827515398</v>
      </c>
      <c r="J133" s="3">
        <v>0.41772151898734178</v>
      </c>
      <c r="K133" s="3">
        <v>0.109452736318408</v>
      </c>
    </row>
    <row r="134" spans="1:11" x14ac:dyDescent="0.25">
      <c r="A134" s="2">
        <v>45697.666110183643</v>
      </c>
      <c r="B134" s="3" t="s">
        <v>16</v>
      </c>
      <c r="C134" s="3" t="s">
        <v>18</v>
      </c>
      <c r="D134" s="3">
        <v>616</v>
      </c>
      <c r="E134" s="3">
        <v>501</v>
      </c>
      <c r="F134" s="3">
        <v>103</v>
      </c>
      <c r="G134" s="3">
        <v>31</v>
      </c>
      <c r="H134" s="3">
        <v>0.81331168831168832</v>
      </c>
      <c r="I134" s="3">
        <v>0.20558882235528941</v>
      </c>
      <c r="J134" s="3">
        <v>0.30097087378640769</v>
      </c>
      <c r="K134" s="3">
        <v>5.0324675324675328E-2</v>
      </c>
    </row>
    <row r="135" spans="1:11" x14ac:dyDescent="0.25">
      <c r="A135" s="2">
        <v>45697.966611018353</v>
      </c>
      <c r="B135" s="3" t="s">
        <v>11</v>
      </c>
      <c r="C135" s="3" t="s">
        <v>12</v>
      </c>
      <c r="D135" s="3">
        <v>380</v>
      </c>
      <c r="E135" s="3">
        <v>228</v>
      </c>
      <c r="F135" s="3">
        <v>69</v>
      </c>
      <c r="G135" s="3">
        <v>40</v>
      </c>
      <c r="H135" s="3">
        <v>0.6</v>
      </c>
      <c r="I135" s="3">
        <v>0.30263157894736842</v>
      </c>
      <c r="J135" s="3">
        <v>0.57971014492753625</v>
      </c>
      <c r="K135" s="3">
        <v>0.10526315789473679</v>
      </c>
    </row>
    <row r="136" spans="1:11" x14ac:dyDescent="0.25">
      <c r="A136" s="2">
        <v>45698.267111853078</v>
      </c>
      <c r="B136" s="3" t="s">
        <v>13</v>
      </c>
      <c r="C136" s="3" t="s">
        <v>12</v>
      </c>
      <c r="D136" s="3">
        <v>322</v>
      </c>
      <c r="E136" s="3">
        <v>206</v>
      </c>
      <c r="F136" s="3">
        <v>38</v>
      </c>
      <c r="G136" s="3">
        <v>22</v>
      </c>
      <c r="H136" s="3">
        <v>0.63975155279503104</v>
      </c>
      <c r="I136" s="3">
        <v>0.1844660194174757</v>
      </c>
      <c r="J136" s="3">
        <v>0.57894736842105265</v>
      </c>
      <c r="K136" s="3">
        <v>6.8322981366459631E-2</v>
      </c>
    </row>
    <row r="137" spans="1:11" x14ac:dyDescent="0.25">
      <c r="A137" s="2">
        <v>45698.56761268781</v>
      </c>
      <c r="B137" s="3" t="s">
        <v>11</v>
      </c>
      <c r="C137" s="3" t="s">
        <v>18</v>
      </c>
      <c r="D137" s="3">
        <v>201</v>
      </c>
      <c r="E137" s="3">
        <v>117</v>
      </c>
      <c r="F137" s="3">
        <v>28</v>
      </c>
      <c r="G137" s="3">
        <v>13</v>
      </c>
      <c r="H137" s="3">
        <v>0.58208955223880599</v>
      </c>
      <c r="I137" s="3">
        <v>0.2393162393162393</v>
      </c>
      <c r="J137" s="3">
        <v>0.4642857142857143</v>
      </c>
      <c r="K137" s="3">
        <v>6.4676616915422883E-2</v>
      </c>
    </row>
    <row r="138" spans="1:11" x14ac:dyDescent="0.25">
      <c r="A138" s="2">
        <v>45698.868113522527</v>
      </c>
      <c r="B138" s="3" t="s">
        <v>15</v>
      </c>
      <c r="C138" s="3" t="s">
        <v>12</v>
      </c>
      <c r="D138" s="3">
        <v>226</v>
      </c>
      <c r="E138" s="3">
        <v>147</v>
      </c>
      <c r="F138" s="3">
        <v>25</v>
      </c>
      <c r="G138" s="3">
        <v>12</v>
      </c>
      <c r="H138" s="3">
        <v>0.65044247787610621</v>
      </c>
      <c r="I138" s="3">
        <v>0.17006802721088429</v>
      </c>
      <c r="J138" s="3">
        <v>0.48</v>
      </c>
      <c r="K138" s="3">
        <v>5.3097345132743362E-2</v>
      </c>
    </row>
    <row r="139" spans="1:11" x14ac:dyDescent="0.25">
      <c r="A139" s="2">
        <v>45699.168614357259</v>
      </c>
      <c r="B139" s="3" t="s">
        <v>14</v>
      </c>
      <c r="C139" s="3" t="s">
        <v>18</v>
      </c>
      <c r="D139" s="3">
        <v>646</v>
      </c>
      <c r="E139" s="3">
        <v>493</v>
      </c>
      <c r="F139" s="3">
        <v>205</v>
      </c>
      <c r="G139" s="3">
        <v>74</v>
      </c>
      <c r="H139" s="3">
        <v>0.76315789473684215</v>
      </c>
      <c r="I139" s="3">
        <v>0.41582150101419879</v>
      </c>
      <c r="J139" s="3">
        <v>0.36097560975609749</v>
      </c>
      <c r="K139" s="3">
        <v>0.1145510835913313</v>
      </c>
    </row>
    <row r="140" spans="1:11" x14ac:dyDescent="0.25">
      <c r="A140" s="2">
        <v>45699.469115191983</v>
      </c>
      <c r="B140" s="3" t="s">
        <v>11</v>
      </c>
      <c r="C140" s="3" t="s">
        <v>12</v>
      </c>
      <c r="D140" s="3">
        <v>435</v>
      </c>
      <c r="E140" s="3">
        <v>336</v>
      </c>
      <c r="F140" s="3">
        <v>57</v>
      </c>
      <c r="G140" s="3">
        <v>32</v>
      </c>
      <c r="H140" s="3">
        <v>0.77241379310344827</v>
      </c>
      <c r="I140" s="3">
        <v>0.16964285714285721</v>
      </c>
      <c r="J140" s="3">
        <v>0.56140350877192979</v>
      </c>
      <c r="K140" s="3">
        <v>7.3563218390804597E-2</v>
      </c>
    </row>
    <row r="141" spans="1:11" x14ac:dyDescent="0.25">
      <c r="A141" s="2">
        <v>45699.769616026701</v>
      </c>
      <c r="B141" s="3" t="s">
        <v>13</v>
      </c>
      <c r="C141" s="3" t="s">
        <v>12</v>
      </c>
      <c r="D141" s="3">
        <v>388</v>
      </c>
      <c r="E141" s="3">
        <v>261</v>
      </c>
      <c r="F141" s="3">
        <v>67</v>
      </c>
      <c r="G141" s="3">
        <v>36</v>
      </c>
      <c r="H141" s="3">
        <v>0.67268041237113407</v>
      </c>
      <c r="I141" s="3">
        <v>0.25670498084291188</v>
      </c>
      <c r="J141" s="3">
        <v>0.53731343283582089</v>
      </c>
      <c r="K141" s="3">
        <v>9.2783505154639179E-2</v>
      </c>
    </row>
    <row r="142" spans="1:11" x14ac:dyDescent="0.25">
      <c r="A142" s="2">
        <v>45700.070116861432</v>
      </c>
      <c r="B142" s="3" t="s">
        <v>13</v>
      </c>
      <c r="C142" s="3" t="s">
        <v>12</v>
      </c>
      <c r="D142" s="3">
        <v>367</v>
      </c>
      <c r="E142" s="3">
        <v>263</v>
      </c>
      <c r="F142" s="3">
        <v>67</v>
      </c>
      <c r="G142" s="3">
        <v>42</v>
      </c>
      <c r="H142" s="3">
        <v>0.71662125340599458</v>
      </c>
      <c r="I142" s="3">
        <v>0.25475285171102657</v>
      </c>
      <c r="J142" s="3">
        <v>0.62686567164179108</v>
      </c>
      <c r="K142" s="3">
        <v>0.11444141689373299</v>
      </c>
    </row>
    <row r="143" spans="1:11" x14ac:dyDescent="0.25">
      <c r="A143" s="2">
        <v>45700.370617696157</v>
      </c>
      <c r="B143" s="3" t="s">
        <v>16</v>
      </c>
      <c r="C143" s="3" t="s">
        <v>12</v>
      </c>
      <c r="D143" s="3">
        <v>386</v>
      </c>
      <c r="E143" s="3">
        <v>233</v>
      </c>
      <c r="F143" s="3">
        <v>94</v>
      </c>
      <c r="G143" s="3">
        <v>25</v>
      </c>
      <c r="H143" s="3">
        <v>0.60362694300518138</v>
      </c>
      <c r="I143" s="3">
        <v>0.40343347639484978</v>
      </c>
      <c r="J143" s="3">
        <v>0.26595744680851058</v>
      </c>
      <c r="K143" s="3">
        <v>6.4766839378238336E-2</v>
      </c>
    </row>
    <row r="144" spans="1:11" x14ac:dyDescent="0.25">
      <c r="A144" s="2">
        <v>45700.671118530881</v>
      </c>
      <c r="B144" s="3" t="s">
        <v>15</v>
      </c>
      <c r="C144" s="3" t="s">
        <v>18</v>
      </c>
      <c r="D144" s="3">
        <v>628</v>
      </c>
      <c r="E144" s="3">
        <v>446</v>
      </c>
      <c r="F144" s="3">
        <v>180</v>
      </c>
      <c r="G144" s="3">
        <v>78</v>
      </c>
      <c r="H144" s="3">
        <v>0.71019108280254772</v>
      </c>
      <c r="I144" s="3">
        <v>0.40358744394618828</v>
      </c>
      <c r="J144" s="3">
        <v>0.43333333333333329</v>
      </c>
      <c r="K144" s="3">
        <v>0.124203821656051</v>
      </c>
    </row>
    <row r="145" spans="1:11" x14ac:dyDescent="0.25">
      <c r="A145" s="2">
        <v>45700.971619365599</v>
      </c>
      <c r="B145" s="3" t="s">
        <v>11</v>
      </c>
      <c r="C145" s="3" t="s">
        <v>12</v>
      </c>
      <c r="D145" s="3">
        <v>431</v>
      </c>
      <c r="E145" s="3">
        <v>254</v>
      </c>
      <c r="F145" s="3">
        <v>82</v>
      </c>
      <c r="G145" s="3">
        <v>51</v>
      </c>
      <c r="H145" s="3">
        <v>0.58932714617169368</v>
      </c>
      <c r="I145" s="3">
        <v>0.32283464566929132</v>
      </c>
      <c r="J145" s="3">
        <v>0.62195121951219512</v>
      </c>
      <c r="K145" s="3">
        <v>0.11832946635730859</v>
      </c>
    </row>
    <row r="146" spans="1:11" x14ac:dyDescent="0.25">
      <c r="A146" s="2">
        <v>45701.272120200323</v>
      </c>
      <c r="B146" s="3" t="s">
        <v>11</v>
      </c>
      <c r="C146" s="3" t="s">
        <v>12</v>
      </c>
      <c r="D146" s="3">
        <v>391</v>
      </c>
      <c r="E146" s="3">
        <v>293</v>
      </c>
      <c r="F146" s="3">
        <v>102</v>
      </c>
      <c r="G146" s="3">
        <v>48</v>
      </c>
      <c r="H146" s="3">
        <v>0.7493606138107417</v>
      </c>
      <c r="I146" s="3">
        <v>0.34812286689419802</v>
      </c>
      <c r="J146" s="3">
        <v>0.47058823529411759</v>
      </c>
      <c r="K146" s="3">
        <v>0.1227621483375959</v>
      </c>
    </row>
    <row r="147" spans="1:11" x14ac:dyDescent="0.25">
      <c r="A147" s="2">
        <v>45701.572621035048</v>
      </c>
      <c r="B147" s="3" t="s">
        <v>16</v>
      </c>
      <c r="C147" s="3" t="s">
        <v>18</v>
      </c>
      <c r="D147" s="3">
        <v>138</v>
      </c>
      <c r="E147" s="3">
        <v>86</v>
      </c>
      <c r="F147" s="3">
        <v>28</v>
      </c>
      <c r="G147" s="3">
        <v>14</v>
      </c>
      <c r="H147" s="3">
        <v>0.62318840579710144</v>
      </c>
      <c r="I147" s="3">
        <v>0.32558139534883718</v>
      </c>
      <c r="J147" s="3">
        <v>0.5</v>
      </c>
      <c r="K147" s="3">
        <v>0.10144927536231881</v>
      </c>
    </row>
    <row r="148" spans="1:11" x14ac:dyDescent="0.25">
      <c r="A148" s="2">
        <v>45701.873121869779</v>
      </c>
      <c r="B148" s="3" t="s">
        <v>15</v>
      </c>
      <c r="C148" s="3" t="s">
        <v>12</v>
      </c>
      <c r="D148" s="3">
        <v>114</v>
      </c>
      <c r="E148" s="3">
        <v>90</v>
      </c>
      <c r="F148" s="3">
        <v>37</v>
      </c>
      <c r="G148" s="3">
        <v>19</v>
      </c>
      <c r="H148" s="3">
        <v>0.78947368421052633</v>
      </c>
      <c r="I148" s="3">
        <v>0.41111111111111109</v>
      </c>
      <c r="J148" s="3">
        <v>0.51351351351351349</v>
      </c>
      <c r="K148" s="3">
        <v>0.16666666666666671</v>
      </c>
    </row>
    <row r="149" spans="1:11" x14ac:dyDescent="0.25">
      <c r="A149" s="2">
        <v>45702.173622704497</v>
      </c>
      <c r="B149" s="3" t="s">
        <v>15</v>
      </c>
      <c r="C149" s="3" t="s">
        <v>12</v>
      </c>
      <c r="D149" s="3">
        <v>524</v>
      </c>
      <c r="E149" s="3">
        <v>392</v>
      </c>
      <c r="F149" s="3">
        <v>65</v>
      </c>
      <c r="G149" s="3">
        <v>45</v>
      </c>
      <c r="H149" s="3">
        <v>0.74809160305343514</v>
      </c>
      <c r="I149" s="3">
        <v>0.16581632653061221</v>
      </c>
      <c r="J149" s="3">
        <v>0.69230769230769229</v>
      </c>
      <c r="K149" s="3">
        <v>8.5877862595419852E-2</v>
      </c>
    </row>
    <row r="150" spans="1:11" x14ac:dyDescent="0.25">
      <c r="A150" s="2">
        <v>45702.474123539221</v>
      </c>
      <c r="B150" s="3" t="s">
        <v>16</v>
      </c>
      <c r="C150" s="3" t="s">
        <v>18</v>
      </c>
      <c r="D150" s="3">
        <v>172</v>
      </c>
      <c r="E150" s="3">
        <v>127</v>
      </c>
      <c r="F150" s="3">
        <v>43</v>
      </c>
      <c r="G150" s="3">
        <v>11</v>
      </c>
      <c r="H150" s="3">
        <v>0.73837209302325579</v>
      </c>
      <c r="I150" s="3">
        <v>0.33858267716535428</v>
      </c>
      <c r="J150" s="3">
        <v>0.2558139534883721</v>
      </c>
      <c r="K150" s="3">
        <v>6.3953488372093026E-2</v>
      </c>
    </row>
    <row r="151" spans="1:11" x14ac:dyDescent="0.25">
      <c r="A151" s="2">
        <v>45702.774624373953</v>
      </c>
      <c r="B151" s="3" t="s">
        <v>16</v>
      </c>
      <c r="C151" s="3" t="s">
        <v>18</v>
      </c>
      <c r="D151" s="3">
        <v>286</v>
      </c>
      <c r="E151" s="3">
        <v>226</v>
      </c>
      <c r="F151" s="3">
        <v>74</v>
      </c>
      <c r="G151" s="3">
        <v>31</v>
      </c>
      <c r="H151" s="3">
        <v>0.79020979020979021</v>
      </c>
      <c r="I151" s="3">
        <v>0.32743362831858408</v>
      </c>
      <c r="J151" s="3">
        <v>0.41891891891891891</v>
      </c>
      <c r="K151" s="3">
        <v>0.1083916083916084</v>
      </c>
    </row>
    <row r="152" spans="1:11" x14ac:dyDescent="0.25">
      <c r="A152" s="2">
        <v>45703.075125208677</v>
      </c>
      <c r="B152" s="3" t="s">
        <v>17</v>
      </c>
      <c r="C152" s="3" t="s">
        <v>12</v>
      </c>
      <c r="D152" s="3">
        <v>432</v>
      </c>
      <c r="E152" s="3">
        <v>335</v>
      </c>
      <c r="F152" s="3">
        <v>96</v>
      </c>
      <c r="G152" s="3">
        <v>63</v>
      </c>
      <c r="H152" s="3">
        <v>0.77546296296296291</v>
      </c>
      <c r="I152" s="3">
        <v>0.28656716417910449</v>
      </c>
      <c r="J152" s="3">
        <v>0.65625</v>
      </c>
      <c r="K152" s="3">
        <v>0.14583333333333329</v>
      </c>
    </row>
    <row r="153" spans="1:11" x14ac:dyDescent="0.25">
      <c r="A153" s="2">
        <v>45703.375626043402</v>
      </c>
      <c r="B153" s="3" t="s">
        <v>16</v>
      </c>
      <c r="C153" s="3" t="s">
        <v>19</v>
      </c>
      <c r="D153" s="3">
        <v>411</v>
      </c>
      <c r="E153" s="3">
        <v>312</v>
      </c>
      <c r="F153" s="3">
        <v>89</v>
      </c>
      <c r="G153" s="3">
        <v>52</v>
      </c>
      <c r="H153" s="3">
        <v>0.75912408759124084</v>
      </c>
      <c r="I153" s="3">
        <v>0.28525641025641019</v>
      </c>
      <c r="J153" s="3">
        <v>0.5842696629213483</v>
      </c>
      <c r="K153" s="3">
        <v>0.1265206812652068</v>
      </c>
    </row>
    <row r="154" spans="1:11" x14ac:dyDescent="0.25">
      <c r="A154" s="2">
        <v>45703.676126878127</v>
      </c>
      <c r="B154" s="3" t="s">
        <v>16</v>
      </c>
      <c r="C154" s="3" t="s">
        <v>18</v>
      </c>
      <c r="D154" s="3">
        <v>238</v>
      </c>
      <c r="E154" s="3">
        <v>154</v>
      </c>
      <c r="F154" s="3">
        <v>58</v>
      </c>
      <c r="G154" s="3">
        <v>25</v>
      </c>
      <c r="H154" s="3">
        <v>0.6470588235294118</v>
      </c>
      <c r="I154" s="3">
        <v>0.37662337662337658</v>
      </c>
      <c r="J154" s="3">
        <v>0.43103448275862072</v>
      </c>
      <c r="K154" s="3">
        <v>0.1050420168067227</v>
      </c>
    </row>
    <row r="155" spans="1:11" x14ac:dyDescent="0.25">
      <c r="A155" s="2">
        <v>45703.976627712836</v>
      </c>
      <c r="B155" s="3" t="s">
        <v>15</v>
      </c>
      <c r="C155" s="3" t="s">
        <v>12</v>
      </c>
      <c r="D155" s="3">
        <v>103</v>
      </c>
      <c r="E155" s="3">
        <v>76</v>
      </c>
      <c r="F155" s="3">
        <v>20</v>
      </c>
      <c r="G155" s="3">
        <v>5</v>
      </c>
      <c r="H155" s="3">
        <v>0.73786407766990292</v>
      </c>
      <c r="I155" s="3">
        <v>0.26315789473684209</v>
      </c>
      <c r="J155" s="3">
        <v>0.25</v>
      </c>
      <c r="K155" s="3">
        <v>4.8543689320388349E-2</v>
      </c>
    </row>
    <row r="156" spans="1:11" x14ac:dyDescent="0.25">
      <c r="A156" s="2">
        <v>45704.277128547568</v>
      </c>
      <c r="B156" s="3" t="s">
        <v>13</v>
      </c>
      <c r="C156" s="3" t="s">
        <v>12</v>
      </c>
      <c r="D156" s="3">
        <v>483</v>
      </c>
      <c r="E156" s="3">
        <v>315</v>
      </c>
      <c r="F156" s="3">
        <v>125</v>
      </c>
      <c r="G156" s="3">
        <v>43</v>
      </c>
      <c r="H156" s="3">
        <v>0.65217391304347827</v>
      </c>
      <c r="I156" s="3">
        <v>0.3968253968253968</v>
      </c>
      <c r="J156" s="3">
        <v>0.34399999999999997</v>
      </c>
      <c r="K156" s="3">
        <v>8.9026915113871632E-2</v>
      </c>
    </row>
    <row r="157" spans="1:11" x14ac:dyDescent="0.25">
      <c r="A157" s="2">
        <v>45704.5776293823</v>
      </c>
      <c r="B157" s="3" t="s">
        <v>16</v>
      </c>
      <c r="C157" s="3" t="s">
        <v>18</v>
      </c>
      <c r="D157" s="3">
        <v>595</v>
      </c>
      <c r="E157" s="3">
        <v>470</v>
      </c>
      <c r="F157" s="3">
        <v>164</v>
      </c>
      <c r="G157" s="3">
        <v>89</v>
      </c>
      <c r="H157" s="3">
        <v>0.78991596638655459</v>
      </c>
      <c r="I157" s="3">
        <v>0.34893617021276602</v>
      </c>
      <c r="J157" s="3">
        <v>0.54268292682926833</v>
      </c>
      <c r="K157" s="3">
        <v>0.14957983193277311</v>
      </c>
    </row>
    <row r="158" spans="1:11" x14ac:dyDescent="0.25">
      <c r="A158" s="2">
        <v>45704.878130217017</v>
      </c>
      <c r="B158" s="3" t="s">
        <v>14</v>
      </c>
      <c r="C158" s="3" t="s">
        <v>18</v>
      </c>
      <c r="D158" s="3">
        <v>443</v>
      </c>
      <c r="E158" s="3">
        <v>336</v>
      </c>
      <c r="F158" s="3">
        <v>91</v>
      </c>
      <c r="G158" s="3">
        <v>53</v>
      </c>
      <c r="H158" s="3">
        <v>0.75846501128668176</v>
      </c>
      <c r="I158" s="3">
        <v>0.27083333333333331</v>
      </c>
      <c r="J158" s="3">
        <v>0.58241758241758246</v>
      </c>
      <c r="K158" s="3">
        <v>0.1196388261851016</v>
      </c>
    </row>
    <row r="159" spans="1:11" x14ac:dyDescent="0.25">
      <c r="A159" s="2">
        <v>45705.178631051749</v>
      </c>
      <c r="B159" s="3" t="s">
        <v>17</v>
      </c>
      <c r="C159" s="3" t="s">
        <v>12</v>
      </c>
      <c r="D159" s="3">
        <v>461</v>
      </c>
      <c r="E159" s="3">
        <v>305</v>
      </c>
      <c r="F159" s="3">
        <v>89</v>
      </c>
      <c r="G159" s="3">
        <v>39</v>
      </c>
      <c r="H159" s="3">
        <v>0.66160520607375273</v>
      </c>
      <c r="I159" s="3">
        <v>0.29180327868852463</v>
      </c>
      <c r="J159" s="3">
        <v>0.43820224719101131</v>
      </c>
      <c r="K159" s="3">
        <v>8.4598698481561818E-2</v>
      </c>
    </row>
    <row r="160" spans="1:11" x14ac:dyDescent="0.25">
      <c r="A160" s="2">
        <v>45705.479131886474</v>
      </c>
      <c r="B160" s="3" t="s">
        <v>16</v>
      </c>
      <c r="C160" s="3" t="s">
        <v>18</v>
      </c>
      <c r="D160" s="3">
        <v>611</v>
      </c>
      <c r="E160" s="3">
        <v>353</v>
      </c>
      <c r="F160" s="3">
        <v>131</v>
      </c>
      <c r="G160" s="3">
        <v>51</v>
      </c>
      <c r="H160" s="3">
        <v>0.57774140752864156</v>
      </c>
      <c r="I160" s="3">
        <v>0.37110481586402272</v>
      </c>
      <c r="J160" s="3">
        <v>0.38931297709923662</v>
      </c>
      <c r="K160" s="3">
        <v>8.346972176759411E-2</v>
      </c>
    </row>
    <row r="161" spans="1:11" x14ac:dyDescent="0.25">
      <c r="A161" s="2">
        <v>45705.779632721191</v>
      </c>
      <c r="B161" s="3" t="s">
        <v>14</v>
      </c>
      <c r="C161" s="3" t="s">
        <v>18</v>
      </c>
      <c r="D161" s="3">
        <v>231</v>
      </c>
      <c r="E161" s="3">
        <v>136</v>
      </c>
      <c r="F161" s="3">
        <v>36</v>
      </c>
      <c r="G161" s="3">
        <v>13</v>
      </c>
      <c r="H161" s="3">
        <v>0.58874458874458879</v>
      </c>
      <c r="I161" s="3">
        <v>0.26470588235294118</v>
      </c>
      <c r="J161" s="3">
        <v>0.3611111111111111</v>
      </c>
      <c r="K161" s="3">
        <v>5.627705627705628E-2</v>
      </c>
    </row>
    <row r="162" spans="1:11" x14ac:dyDescent="0.25">
      <c r="A162" s="2">
        <v>45706.080133555923</v>
      </c>
      <c r="B162" s="3" t="s">
        <v>11</v>
      </c>
      <c r="C162" s="3" t="s">
        <v>12</v>
      </c>
      <c r="D162" s="3">
        <v>641</v>
      </c>
      <c r="E162" s="3">
        <v>476</v>
      </c>
      <c r="F162" s="3">
        <v>82</v>
      </c>
      <c r="G162" s="3">
        <v>26</v>
      </c>
      <c r="H162" s="3">
        <v>0.74258970358814358</v>
      </c>
      <c r="I162" s="3">
        <v>0.17226890756302521</v>
      </c>
      <c r="J162" s="3">
        <v>0.31707317073170732</v>
      </c>
      <c r="K162" s="3">
        <v>4.0561622464898597E-2</v>
      </c>
    </row>
    <row r="163" spans="1:11" x14ac:dyDescent="0.25">
      <c r="A163" s="2">
        <v>45706.380634390647</v>
      </c>
      <c r="B163" s="3" t="s">
        <v>15</v>
      </c>
      <c r="C163" s="3" t="s">
        <v>12</v>
      </c>
      <c r="D163" s="3">
        <v>499</v>
      </c>
      <c r="E163" s="3">
        <v>366</v>
      </c>
      <c r="F163" s="3">
        <v>115</v>
      </c>
      <c r="G163" s="3">
        <v>59</v>
      </c>
      <c r="H163" s="3">
        <v>0.73346693386773543</v>
      </c>
      <c r="I163" s="3">
        <v>0.31420765027322412</v>
      </c>
      <c r="J163" s="3">
        <v>0.5130434782608696</v>
      </c>
      <c r="K163" s="3">
        <v>0.1182364729458918</v>
      </c>
    </row>
    <row r="164" spans="1:11" x14ac:dyDescent="0.25">
      <c r="A164" s="2">
        <v>45706.681135225372</v>
      </c>
      <c r="B164" s="3" t="s">
        <v>15</v>
      </c>
      <c r="C164" s="3" t="s">
        <v>12</v>
      </c>
      <c r="D164" s="3">
        <v>329</v>
      </c>
      <c r="E164" s="3">
        <v>259</v>
      </c>
      <c r="F164" s="3">
        <v>97</v>
      </c>
      <c r="G164" s="3">
        <v>57</v>
      </c>
      <c r="H164" s="3">
        <v>0.78723404255319152</v>
      </c>
      <c r="I164" s="3">
        <v>0.37451737451737449</v>
      </c>
      <c r="J164" s="3">
        <v>0.58762886597938147</v>
      </c>
      <c r="K164" s="3">
        <v>0.17325227963525841</v>
      </c>
    </row>
    <row r="165" spans="1:11" x14ac:dyDescent="0.25">
      <c r="A165" s="2">
        <v>45706.981636060103</v>
      </c>
      <c r="B165" s="3" t="s">
        <v>15</v>
      </c>
      <c r="C165" s="3" t="s">
        <v>18</v>
      </c>
      <c r="D165" s="3">
        <v>196</v>
      </c>
      <c r="E165" s="3">
        <v>156</v>
      </c>
      <c r="F165" s="3">
        <v>61</v>
      </c>
      <c r="G165" s="3">
        <v>17</v>
      </c>
      <c r="H165" s="3">
        <v>0.79591836734693877</v>
      </c>
      <c r="I165" s="3">
        <v>0.39102564102564102</v>
      </c>
      <c r="J165" s="3">
        <v>0.27868852459016391</v>
      </c>
      <c r="K165" s="3">
        <v>8.673469387755102E-2</v>
      </c>
    </row>
    <row r="166" spans="1:11" x14ac:dyDescent="0.25">
      <c r="A166" s="2">
        <v>45707.282136894813</v>
      </c>
      <c r="B166" s="3" t="s">
        <v>16</v>
      </c>
      <c r="C166" s="3" t="s">
        <v>12</v>
      </c>
      <c r="D166" s="3">
        <v>591</v>
      </c>
      <c r="E166" s="3">
        <v>382</v>
      </c>
      <c r="F166" s="3">
        <v>151</v>
      </c>
      <c r="G166" s="3">
        <v>94</v>
      </c>
      <c r="H166" s="3">
        <v>0.6463620981387479</v>
      </c>
      <c r="I166" s="3">
        <v>0.39528795811518319</v>
      </c>
      <c r="J166" s="3">
        <v>0.62251655629139069</v>
      </c>
      <c r="K166" s="3">
        <v>0.15905245346869709</v>
      </c>
    </row>
    <row r="167" spans="1:11" x14ac:dyDescent="0.25">
      <c r="A167" s="2">
        <v>45707.582637729553</v>
      </c>
      <c r="B167" s="3" t="s">
        <v>17</v>
      </c>
      <c r="C167" s="3" t="s">
        <v>12</v>
      </c>
      <c r="D167" s="3">
        <v>414</v>
      </c>
      <c r="E167" s="3">
        <v>284</v>
      </c>
      <c r="F167" s="3">
        <v>77</v>
      </c>
      <c r="G167" s="3">
        <v>18</v>
      </c>
      <c r="H167" s="3">
        <v>0.68599033816425126</v>
      </c>
      <c r="I167" s="3">
        <v>0.27112676056338031</v>
      </c>
      <c r="J167" s="3">
        <v>0.23376623376623379</v>
      </c>
      <c r="K167" s="3">
        <v>4.3478260869565223E-2</v>
      </c>
    </row>
    <row r="168" spans="1:11" x14ac:dyDescent="0.25">
      <c r="A168" s="2">
        <v>45707.88313856427</v>
      </c>
      <c r="B168" s="3" t="s">
        <v>11</v>
      </c>
      <c r="C168" s="3" t="s">
        <v>18</v>
      </c>
      <c r="D168" s="3">
        <v>497</v>
      </c>
      <c r="E168" s="3">
        <v>393</v>
      </c>
      <c r="F168" s="3">
        <v>97</v>
      </c>
      <c r="G168" s="3">
        <v>28</v>
      </c>
      <c r="H168" s="3">
        <v>0.79074446680080479</v>
      </c>
      <c r="I168" s="3">
        <v>0.2468193384223919</v>
      </c>
      <c r="J168" s="3">
        <v>0.28865979381443302</v>
      </c>
      <c r="K168" s="3">
        <v>5.6338028169014093E-2</v>
      </c>
    </row>
    <row r="169" spans="1:11" x14ac:dyDescent="0.25">
      <c r="A169" s="2">
        <v>45708.183639398987</v>
      </c>
      <c r="B169" s="3" t="s">
        <v>16</v>
      </c>
      <c r="C169" s="3" t="s">
        <v>18</v>
      </c>
      <c r="D169" s="3">
        <v>374</v>
      </c>
      <c r="E169" s="3">
        <v>296</v>
      </c>
      <c r="F169" s="3">
        <v>107</v>
      </c>
      <c r="G169" s="3">
        <v>47</v>
      </c>
      <c r="H169" s="3">
        <v>0.79144385026737973</v>
      </c>
      <c r="I169" s="3">
        <v>0.36148648648648651</v>
      </c>
      <c r="J169" s="3">
        <v>0.43925233644859812</v>
      </c>
      <c r="K169" s="3">
        <v>0.12566844919786099</v>
      </c>
    </row>
    <row r="170" spans="1:11" x14ac:dyDescent="0.25">
      <c r="A170" s="2">
        <v>45708.484140233719</v>
      </c>
      <c r="B170" s="3" t="s">
        <v>16</v>
      </c>
      <c r="C170" s="3" t="s">
        <v>12</v>
      </c>
      <c r="D170" s="3">
        <v>450</v>
      </c>
      <c r="E170" s="3">
        <v>289</v>
      </c>
      <c r="F170" s="3">
        <v>49</v>
      </c>
      <c r="G170" s="3">
        <v>19</v>
      </c>
      <c r="H170" s="3">
        <v>0.64222222222222225</v>
      </c>
      <c r="I170" s="3">
        <v>0.16955017301038061</v>
      </c>
      <c r="J170" s="3">
        <v>0.38775510204081631</v>
      </c>
      <c r="K170" s="3">
        <v>4.2222222222222217E-2</v>
      </c>
    </row>
    <row r="171" spans="1:11" x14ac:dyDescent="0.25">
      <c r="A171" s="2">
        <v>45708.784641068443</v>
      </c>
      <c r="B171" s="3" t="s">
        <v>15</v>
      </c>
      <c r="C171" s="3" t="s">
        <v>18</v>
      </c>
      <c r="D171" s="3">
        <v>265</v>
      </c>
      <c r="E171" s="3">
        <v>179</v>
      </c>
      <c r="F171" s="3">
        <v>63</v>
      </c>
      <c r="G171" s="3">
        <v>37</v>
      </c>
      <c r="H171" s="3">
        <v>0.67547169811320751</v>
      </c>
      <c r="I171" s="3">
        <v>0.35195530726256979</v>
      </c>
      <c r="J171" s="3">
        <v>0.58730158730158732</v>
      </c>
      <c r="K171" s="3">
        <v>0.13962264150943399</v>
      </c>
    </row>
    <row r="172" spans="1:11" x14ac:dyDescent="0.25">
      <c r="A172" s="2">
        <v>45709.085141903168</v>
      </c>
      <c r="B172" s="3" t="s">
        <v>14</v>
      </c>
      <c r="C172" s="3" t="s">
        <v>12</v>
      </c>
      <c r="D172" s="3">
        <v>325</v>
      </c>
      <c r="E172" s="3">
        <v>238</v>
      </c>
      <c r="F172" s="3">
        <v>70</v>
      </c>
      <c r="G172" s="3">
        <v>34</v>
      </c>
      <c r="H172" s="3">
        <v>0.73230769230769233</v>
      </c>
      <c r="I172" s="3">
        <v>0.29411764705882348</v>
      </c>
      <c r="J172" s="3">
        <v>0.48571428571428571</v>
      </c>
      <c r="K172" s="3">
        <v>0.1046153846153846</v>
      </c>
    </row>
    <row r="173" spans="1:11" x14ac:dyDescent="0.25">
      <c r="A173" s="2">
        <v>45709.385642737892</v>
      </c>
      <c r="B173" s="3" t="s">
        <v>16</v>
      </c>
      <c r="C173" s="3" t="s">
        <v>18</v>
      </c>
      <c r="D173" s="3">
        <v>347</v>
      </c>
      <c r="E173" s="3">
        <v>235</v>
      </c>
      <c r="F173" s="3">
        <v>83</v>
      </c>
      <c r="G173" s="3">
        <v>42</v>
      </c>
      <c r="H173" s="3">
        <v>0.67723342939481268</v>
      </c>
      <c r="I173" s="3">
        <v>0.35319148936170208</v>
      </c>
      <c r="J173" s="3">
        <v>0.50602409638554213</v>
      </c>
      <c r="K173" s="3">
        <v>0.1210374639769452</v>
      </c>
    </row>
    <row r="174" spans="1:11" x14ac:dyDescent="0.25">
      <c r="A174" s="2">
        <v>45709.686143572617</v>
      </c>
      <c r="B174" s="3" t="s">
        <v>15</v>
      </c>
      <c r="C174" s="3" t="s">
        <v>12</v>
      </c>
      <c r="D174" s="3">
        <v>316</v>
      </c>
      <c r="E174" s="3">
        <v>182</v>
      </c>
      <c r="F174" s="3">
        <v>55</v>
      </c>
      <c r="G174" s="3">
        <v>31</v>
      </c>
      <c r="H174" s="3">
        <v>0.57594936708860756</v>
      </c>
      <c r="I174" s="3">
        <v>0.30219780219780218</v>
      </c>
      <c r="J174" s="3">
        <v>0.5636363636363636</v>
      </c>
      <c r="K174" s="3">
        <v>9.8101265822784806E-2</v>
      </c>
    </row>
    <row r="175" spans="1:11" x14ac:dyDescent="0.25">
      <c r="A175" s="2">
        <v>45709.986644407341</v>
      </c>
      <c r="B175" s="3" t="s">
        <v>16</v>
      </c>
      <c r="C175" s="3" t="s">
        <v>12</v>
      </c>
      <c r="D175" s="3">
        <v>609</v>
      </c>
      <c r="E175" s="3">
        <v>436</v>
      </c>
      <c r="F175" s="3">
        <v>148</v>
      </c>
      <c r="G175" s="3">
        <v>54</v>
      </c>
      <c r="H175" s="3">
        <v>0.71592775041050905</v>
      </c>
      <c r="I175" s="3">
        <v>0.33944954128440369</v>
      </c>
      <c r="J175" s="3">
        <v>0.36486486486486491</v>
      </c>
      <c r="K175" s="3">
        <v>8.8669950738916259E-2</v>
      </c>
    </row>
    <row r="176" spans="1:11" x14ac:dyDescent="0.25">
      <c r="A176" s="2">
        <v>45710.287145242059</v>
      </c>
      <c r="B176" s="3" t="s">
        <v>14</v>
      </c>
      <c r="C176" s="3" t="s">
        <v>18</v>
      </c>
      <c r="D176" s="3">
        <v>631</v>
      </c>
      <c r="E176" s="3">
        <v>465</v>
      </c>
      <c r="F176" s="3">
        <v>194</v>
      </c>
      <c r="G176" s="3">
        <v>84</v>
      </c>
      <c r="H176" s="3">
        <v>0.73692551505546755</v>
      </c>
      <c r="I176" s="3">
        <v>0.41720430107526879</v>
      </c>
      <c r="J176" s="3">
        <v>0.4329896907216495</v>
      </c>
      <c r="K176" s="3">
        <v>0.13312202852614899</v>
      </c>
    </row>
    <row r="177" spans="1:11" x14ac:dyDescent="0.25">
      <c r="A177" s="2">
        <v>45710.58764607679</v>
      </c>
      <c r="B177" s="3" t="s">
        <v>16</v>
      </c>
      <c r="C177" s="3" t="s">
        <v>12</v>
      </c>
      <c r="D177" s="3">
        <v>100</v>
      </c>
      <c r="E177" s="3">
        <v>57</v>
      </c>
      <c r="F177" s="3">
        <v>16</v>
      </c>
      <c r="G177" s="3">
        <v>10</v>
      </c>
      <c r="H177" s="3">
        <v>0.56999999999999995</v>
      </c>
      <c r="I177" s="3">
        <v>0.2807017543859649</v>
      </c>
      <c r="J177" s="3">
        <v>0.625</v>
      </c>
      <c r="K177" s="3">
        <v>0.1</v>
      </c>
    </row>
    <row r="178" spans="1:11" x14ac:dyDescent="0.25">
      <c r="A178" s="2">
        <v>45710.888146911508</v>
      </c>
      <c r="B178" s="3" t="s">
        <v>14</v>
      </c>
      <c r="C178" s="3" t="s">
        <v>12</v>
      </c>
      <c r="D178" s="3">
        <v>599</v>
      </c>
      <c r="E178" s="3">
        <v>364</v>
      </c>
      <c r="F178" s="3">
        <v>98</v>
      </c>
      <c r="G178" s="3">
        <v>33</v>
      </c>
      <c r="H178" s="3">
        <v>0.60767946577629384</v>
      </c>
      <c r="I178" s="3">
        <v>0.26923076923076922</v>
      </c>
      <c r="J178" s="3">
        <v>0.33673469387755101</v>
      </c>
      <c r="K178" s="3">
        <v>5.5091819699499167E-2</v>
      </c>
    </row>
    <row r="179" spans="1:11" x14ac:dyDescent="0.25">
      <c r="A179" s="2">
        <v>45711.188647746239</v>
      </c>
      <c r="B179" s="3" t="s">
        <v>11</v>
      </c>
      <c r="C179" s="3" t="s">
        <v>18</v>
      </c>
      <c r="D179" s="3">
        <v>179</v>
      </c>
      <c r="E179" s="3">
        <v>103</v>
      </c>
      <c r="F179" s="3">
        <v>40</v>
      </c>
      <c r="G179" s="3">
        <v>26</v>
      </c>
      <c r="H179" s="3">
        <v>0.57541899441340782</v>
      </c>
      <c r="I179" s="3">
        <v>0.38834951456310679</v>
      </c>
      <c r="J179" s="3">
        <v>0.65</v>
      </c>
      <c r="K179" s="3">
        <v>0.14525139664804471</v>
      </c>
    </row>
    <row r="180" spans="1:11" x14ac:dyDescent="0.25">
      <c r="A180" s="2">
        <v>45711.489148580957</v>
      </c>
      <c r="B180" s="3" t="s">
        <v>13</v>
      </c>
      <c r="C180" s="3" t="s">
        <v>18</v>
      </c>
      <c r="D180" s="3">
        <v>557</v>
      </c>
      <c r="E180" s="3">
        <v>372</v>
      </c>
      <c r="F180" s="3">
        <v>75</v>
      </c>
      <c r="G180" s="3">
        <v>22</v>
      </c>
      <c r="H180" s="3">
        <v>0.66786355475763015</v>
      </c>
      <c r="I180" s="3">
        <v>0.20161290322580641</v>
      </c>
      <c r="J180" s="3">
        <v>0.29333333333333328</v>
      </c>
      <c r="K180" s="3">
        <v>3.949730700179533E-2</v>
      </c>
    </row>
    <row r="181" spans="1:11" x14ac:dyDescent="0.25">
      <c r="A181" s="2">
        <v>45711.789649415681</v>
      </c>
      <c r="B181" s="3" t="s">
        <v>16</v>
      </c>
      <c r="C181" s="3" t="s">
        <v>18</v>
      </c>
      <c r="D181" s="3">
        <v>377</v>
      </c>
      <c r="E181" s="3">
        <v>299</v>
      </c>
      <c r="F181" s="3">
        <v>57</v>
      </c>
      <c r="G181" s="3">
        <v>32</v>
      </c>
      <c r="H181" s="3">
        <v>0.7931034482758621</v>
      </c>
      <c r="I181" s="3">
        <v>0.19063545150501671</v>
      </c>
      <c r="J181" s="3">
        <v>0.56140350877192979</v>
      </c>
      <c r="K181" s="3">
        <v>8.4880636604774531E-2</v>
      </c>
    </row>
    <row r="182" spans="1:11" x14ac:dyDescent="0.25">
      <c r="A182" s="2">
        <v>45712.09015025042</v>
      </c>
      <c r="B182" s="3" t="s">
        <v>11</v>
      </c>
      <c r="C182" s="3" t="s">
        <v>18</v>
      </c>
      <c r="D182" s="3">
        <v>605</v>
      </c>
      <c r="E182" s="3">
        <v>388</v>
      </c>
      <c r="F182" s="3">
        <v>105</v>
      </c>
      <c r="G182" s="3">
        <v>50</v>
      </c>
      <c r="H182" s="3">
        <v>0.64132231404958673</v>
      </c>
      <c r="I182" s="3">
        <v>0.27061855670103091</v>
      </c>
      <c r="J182" s="3">
        <v>0.47619047619047622</v>
      </c>
      <c r="K182" s="3">
        <v>8.2644628099173556E-2</v>
      </c>
    </row>
    <row r="183" spans="1:11" x14ac:dyDescent="0.25">
      <c r="A183" s="2">
        <v>45712.390651085138</v>
      </c>
      <c r="B183" s="3" t="s">
        <v>16</v>
      </c>
      <c r="C183" s="3" t="s">
        <v>12</v>
      </c>
      <c r="D183" s="3">
        <v>413</v>
      </c>
      <c r="E183" s="3">
        <v>318</v>
      </c>
      <c r="F183" s="3">
        <v>64</v>
      </c>
      <c r="G183" s="3">
        <v>36</v>
      </c>
      <c r="H183" s="3">
        <v>0.76997578692493951</v>
      </c>
      <c r="I183" s="3">
        <v>0.20125786163522011</v>
      </c>
      <c r="J183" s="3">
        <v>0.5625</v>
      </c>
      <c r="K183" s="3">
        <v>8.7167070217917669E-2</v>
      </c>
    </row>
    <row r="184" spans="1:11" x14ac:dyDescent="0.25">
      <c r="A184" s="2">
        <v>45712.691151919862</v>
      </c>
      <c r="B184" s="3" t="s">
        <v>13</v>
      </c>
      <c r="C184" s="3" t="s">
        <v>12</v>
      </c>
      <c r="D184" s="3">
        <v>81</v>
      </c>
      <c r="E184" s="3">
        <v>38</v>
      </c>
      <c r="F184" s="3">
        <v>9</v>
      </c>
      <c r="G184" s="3">
        <v>7</v>
      </c>
      <c r="H184" s="3">
        <v>0.46913580246913578</v>
      </c>
      <c r="I184" s="3">
        <v>0.23684210526315791</v>
      </c>
      <c r="J184" s="3">
        <v>0.77777777777777779</v>
      </c>
      <c r="K184" s="3">
        <v>8.6419753086419748E-2</v>
      </c>
    </row>
    <row r="185" spans="1:11" x14ac:dyDescent="0.25">
      <c r="A185" s="2">
        <v>45712.991652754587</v>
      </c>
      <c r="B185" s="3" t="s">
        <v>17</v>
      </c>
      <c r="C185" s="3" t="s">
        <v>12</v>
      </c>
      <c r="D185" s="3">
        <v>454</v>
      </c>
      <c r="E185" s="3">
        <v>287</v>
      </c>
      <c r="F185" s="3">
        <v>119</v>
      </c>
      <c r="G185" s="3">
        <v>73</v>
      </c>
      <c r="H185" s="3">
        <v>0.63215859030837007</v>
      </c>
      <c r="I185" s="3">
        <v>0.41463414634146339</v>
      </c>
      <c r="J185" s="3">
        <v>0.61344537815126055</v>
      </c>
      <c r="K185" s="3">
        <v>0.16079295154185019</v>
      </c>
    </row>
    <row r="186" spans="1:11" x14ac:dyDescent="0.25">
      <c r="A186" s="2">
        <v>45713.292153589297</v>
      </c>
      <c r="B186" s="3" t="s">
        <v>16</v>
      </c>
      <c r="C186" s="3" t="s">
        <v>12</v>
      </c>
      <c r="D186" s="3">
        <v>372</v>
      </c>
      <c r="E186" s="3">
        <v>234</v>
      </c>
      <c r="F186" s="3">
        <v>61</v>
      </c>
      <c r="G186" s="3">
        <v>24</v>
      </c>
      <c r="H186" s="3">
        <v>0.62903225806451613</v>
      </c>
      <c r="I186" s="3">
        <v>0.2606837606837607</v>
      </c>
      <c r="J186" s="3">
        <v>0.39344262295081972</v>
      </c>
      <c r="K186" s="3">
        <v>6.4516129032258063E-2</v>
      </c>
    </row>
    <row r="187" spans="1:11" x14ac:dyDescent="0.25">
      <c r="A187" s="2">
        <v>45713.592654424043</v>
      </c>
      <c r="B187" s="3" t="s">
        <v>14</v>
      </c>
      <c r="C187" s="3" t="s">
        <v>18</v>
      </c>
      <c r="D187" s="3">
        <v>632</v>
      </c>
      <c r="E187" s="3">
        <v>458</v>
      </c>
      <c r="F187" s="3">
        <v>146</v>
      </c>
      <c r="G187" s="3">
        <v>53</v>
      </c>
      <c r="H187" s="3">
        <v>0.72468354430379744</v>
      </c>
      <c r="I187" s="3">
        <v>0.31877729257641918</v>
      </c>
      <c r="J187" s="3">
        <v>0.36301369863013699</v>
      </c>
      <c r="K187" s="3">
        <v>8.3860759493670889E-2</v>
      </c>
    </row>
    <row r="188" spans="1:11" x14ac:dyDescent="0.25">
      <c r="A188" s="2">
        <v>45713.89315525876</v>
      </c>
      <c r="B188" s="3" t="s">
        <v>17</v>
      </c>
      <c r="C188" s="3" t="s">
        <v>18</v>
      </c>
      <c r="D188" s="3">
        <v>397</v>
      </c>
      <c r="E188" s="3">
        <v>222</v>
      </c>
      <c r="F188" s="3">
        <v>85</v>
      </c>
      <c r="G188" s="3">
        <v>35</v>
      </c>
      <c r="H188" s="3">
        <v>0.55919395465994959</v>
      </c>
      <c r="I188" s="3">
        <v>0.38288288288288291</v>
      </c>
      <c r="J188" s="3">
        <v>0.41176470588235292</v>
      </c>
      <c r="K188" s="3">
        <v>8.8161209068010074E-2</v>
      </c>
    </row>
    <row r="189" spans="1:11" x14ac:dyDescent="0.25">
      <c r="A189" s="2">
        <v>45714.193656093477</v>
      </c>
      <c r="B189" s="3" t="s">
        <v>15</v>
      </c>
      <c r="C189" s="3" t="s">
        <v>12</v>
      </c>
      <c r="D189" s="3">
        <v>581</v>
      </c>
      <c r="E189" s="3">
        <v>421</v>
      </c>
      <c r="F189" s="3">
        <v>94</v>
      </c>
      <c r="G189" s="3">
        <v>21</v>
      </c>
      <c r="H189" s="3">
        <v>0.7246127366609294</v>
      </c>
      <c r="I189" s="3">
        <v>0.22327790973871731</v>
      </c>
      <c r="J189" s="3">
        <v>0.2234042553191489</v>
      </c>
      <c r="K189" s="3">
        <v>3.614457831325301E-2</v>
      </c>
    </row>
    <row r="190" spans="1:11" x14ac:dyDescent="0.25">
      <c r="A190" s="2">
        <v>45714.494156928209</v>
      </c>
      <c r="B190" s="3" t="s">
        <v>15</v>
      </c>
      <c r="C190" s="3" t="s">
        <v>12</v>
      </c>
      <c r="D190" s="3">
        <v>460</v>
      </c>
      <c r="E190" s="3">
        <v>299</v>
      </c>
      <c r="F190" s="3">
        <v>84</v>
      </c>
      <c r="G190" s="3">
        <v>48</v>
      </c>
      <c r="H190" s="3">
        <v>0.65</v>
      </c>
      <c r="I190" s="3">
        <v>0.28093645484949831</v>
      </c>
      <c r="J190" s="3">
        <v>0.5714285714285714</v>
      </c>
      <c r="K190" s="3">
        <v>0.1043478260869565</v>
      </c>
    </row>
    <row r="191" spans="1:11" x14ac:dyDescent="0.25">
      <c r="A191" s="2">
        <v>45714.794657762926</v>
      </c>
      <c r="B191" s="3" t="s">
        <v>16</v>
      </c>
      <c r="C191" s="3" t="s">
        <v>19</v>
      </c>
      <c r="D191" s="3">
        <v>93</v>
      </c>
      <c r="E191" s="3">
        <v>53</v>
      </c>
      <c r="F191" s="3">
        <v>15</v>
      </c>
      <c r="G191" s="3">
        <v>7</v>
      </c>
      <c r="H191" s="3">
        <v>0.56989247311827962</v>
      </c>
      <c r="I191" s="3">
        <v>0.28301886792452829</v>
      </c>
      <c r="J191" s="3">
        <v>0.46666666666666667</v>
      </c>
      <c r="K191" s="3">
        <v>7.5268817204301078E-2</v>
      </c>
    </row>
    <row r="192" spans="1:11" x14ac:dyDescent="0.25">
      <c r="A192" s="2">
        <v>45715.095158597673</v>
      </c>
      <c r="B192" s="3" t="s">
        <v>16</v>
      </c>
      <c r="C192" s="3" t="s">
        <v>12</v>
      </c>
      <c r="D192" s="3">
        <v>583</v>
      </c>
      <c r="E192" s="3">
        <v>328</v>
      </c>
      <c r="F192" s="3">
        <v>110</v>
      </c>
      <c r="G192" s="3">
        <v>58</v>
      </c>
      <c r="H192" s="3">
        <v>0.56260720411663812</v>
      </c>
      <c r="I192" s="3">
        <v>0.33536585365853661</v>
      </c>
      <c r="J192" s="3">
        <v>0.52727272727272723</v>
      </c>
      <c r="K192" s="3">
        <v>9.9485420240137221E-2</v>
      </c>
    </row>
    <row r="193" spans="1:11" x14ac:dyDescent="0.25">
      <c r="A193" s="2">
        <v>45715.395659432383</v>
      </c>
      <c r="B193" s="3" t="s">
        <v>17</v>
      </c>
      <c r="C193" s="3" t="s">
        <v>18</v>
      </c>
      <c r="D193" s="3">
        <v>310</v>
      </c>
      <c r="E193" s="3">
        <v>195</v>
      </c>
      <c r="F193" s="3">
        <v>53</v>
      </c>
      <c r="G193" s="3">
        <v>29</v>
      </c>
      <c r="H193" s="3">
        <v>0.62903225806451613</v>
      </c>
      <c r="I193" s="3">
        <v>0.27179487179487177</v>
      </c>
      <c r="J193" s="3">
        <v>0.54716981132075471</v>
      </c>
      <c r="K193" s="3">
        <v>9.3548387096774197E-2</v>
      </c>
    </row>
    <row r="194" spans="1:11" x14ac:dyDescent="0.25">
      <c r="A194" s="2">
        <v>45715.696160267107</v>
      </c>
      <c r="B194" s="3" t="s">
        <v>17</v>
      </c>
      <c r="C194" s="3" t="s">
        <v>12</v>
      </c>
      <c r="D194" s="3">
        <v>163</v>
      </c>
      <c r="E194" s="3">
        <v>116</v>
      </c>
      <c r="F194" s="3">
        <v>30</v>
      </c>
      <c r="G194" s="3">
        <v>20</v>
      </c>
      <c r="H194" s="3">
        <v>0.71165644171779141</v>
      </c>
      <c r="I194" s="3">
        <v>0.25862068965517238</v>
      </c>
      <c r="J194" s="3">
        <v>0.66666666666666663</v>
      </c>
      <c r="K194" s="3">
        <v>0.1226993865030675</v>
      </c>
    </row>
    <row r="195" spans="1:11" x14ac:dyDescent="0.25">
      <c r="A195" s="2">
        <v>45715.996661101832</v>
      </c>
      <c r="B195" s="3" t="s">
        <v>15</v>
      </c>
      <c r="C195" s="3" t="s">
        <v>18</v>
      </c>
      <c r="D195" s="3">
        <v>209</v>
      </c>
      <c r="E195" s="3">
        <v>131</v>
      </c>
      <c r="F195" s="3">
        <v>39</v>
      </c>
      <c r="G195" s="3">
        <v>19</v>
      </c>
      <c r="H195" s="3">
        <v>0.62679425837320579</v>
      </c>
      <c r="I195" s="3">
        <v>0.29770992366412208</v>
      </c>
      <c r="J195" s="3">
        <v>0.48717948717948723</v>
      </c>
      <c r="K195" s="3">
        <v>9.0909090909090912E-2</v>
      </c>
    </row>
    <row r="196" spans="1:11" x14ac:dyDescent="0.25">
      <c r="A196" s="2">
        <v>45716.297161936549</v>
      </c>
      <c r="B196" s="3" t="s">
        <v>11</v>
      </c>
      <c r="C196" s="3" t="s">
        <v>12</v>
      </c>
      <c r="D196" s="3">
        <v>224</v>
      </c>
      <c r="E196" s="3">
        <v>153</v>
      </c>
      <c r="F196" s="3">
        <v>26</v>
      </c>
      <c r="G196" s="3">
        <v>6</v>
      </c>
      <c r="H196" s="3">
        <v>0.6830357142857143</v>
      </c>
      <c r="I196" s="3">
        <v>0.1699346405228758</v>
      </c>
      <c r="J196" s="3">
        <v>0.23076923076923081</v>
      </c>
      <c r="K196" s="3">
        <v>2.6785714285714281E-2</v>
      </c>
    </row>
    <row r="197" spans="1:11" x14ac:dyDescent="0.25">
      <c r="A197" s="2">
        <v>45716.597662771288</v>
      </c>
      <c r="B197" s="3" t="s">
        <v>11</v>
      </c>
      <c r="C197" s="3" t="s">
        <v>18</v>
      </c>
      <c r="D197" s="3">
        <v>107</v>
      </c>
      <c r="E197" s="3">
        <v>71</v>
      </c>
      <c r="F197" s="3">
        <v>22</v>
      </c>
      <c r="G197" s="3">
        <v>7</v>
      </c>
      <c r="H197" s="3">
        <v>0.66355140186915884</v>
      </c>
      <c r="I197" s="3">
        <v>0.30985915492957739</v>
      </c>
      <c r="J197" s="3">
        <v>0.31818181818181818</v>
      </c>
      <c r="K197" s="3">
        <v>6.5420560747663545E-2</v>
      </c>
    </row>
    <row r="198" spans="1:11" x14ac:dyDescent="0.25">
      <c r="A198" s="2">
        <v>45716.898163606013</v>
      </c>
      <c r="B198" s="3" t="s">
        <v>14</v>
      </c>
      <c r="C198" s="3" t="s">
        <v>19</v>
      </c>
      <c r="D198" s="3">
        <v>145</v>
      </c>
      <c r="E198" s="3">
        <v>111</v>
      </c>
      <c r="F198" s="3">
        <v>47</v>
      </c>
      <c r="G198" s="3">
        <v>24</v>
      </c>
      <c r="H198" s="3">
        <v>0.76551724137931032</v>
      </c>
      <c r="I198" s="3">
        <v>0.42342342342342337</v>
      </c>
      <c r="J198" s="3">
        <v>0.51063829787234039</v>
      </c>
      <c r="K198" s="3">
        <v>0.16551724137931029</v>
      </c>
    </row>
    <row r="199" spans="1:11" x14ac:dyDescent="0.25">
      <c r="A199" s="2">
        <v>45717.19866444073</v>
      </c>
      <c r="B199" s="3" t="s">
        <v>17</v>
      </c>
      <c r="C199" s="3" t="s">
        <v>12</v>
      </c>
      <c r="D199" s="3">
        <v>242</v>
      </c>
      <c r="E199" s="3">
        <v>138</v>
      </c>
      <c r="F199" s="3">
        <v>35</v>
      </c>
      <c r="G199" s="3">
        <v>11</v>
      </c>
      <c r="H199" s="3">
        <v>0.57024793388429751</v>
      </c>
      <c r="I199" s="3">
        <v>0.25362318840579712</v>
      </c>
      <c r="J199" s="3">
        <v>0.31428571428571428</v>
      </c>
      <c r="K199" s="3">
        <v>4.5454545454545463E-2</v>
      </c>
    </row>
    <row r="200" spans="1:11" x14ac:dyDescent="0.25">
      <c r="A200" s="2">
        <v>45717.499165275447</v>
      </c>
      <c r="B200" s="3" t="s">
        <v>17</v>
      </c>
      <c r="C200" s="3" t="s">
        <v>18</v>
      </c>
      <c r="D200" s="3">
        <v>308</v>
      </c>
      <c r="E200" s="3">
        <v>229</v>
      </c>
      <c r="F200" s="3">
        <v>67</v>
      </c>
      <c r="G200" s="3">
        <v>36</v>
      </c>
      <c r="H200" s="3">
        <v>0.74350649350649356</v>
      </c>
      <c r="I200" s="3">
        <v>0.29257641921397382</v>
      </c>
      <c r="J200" s="3">
        <v>0.53731343283582089</v>
      </c>
      <c r="K200" s="3">
        <v>0.11688311688311689</v>
      </c>
    </row>
    <row r="201" spans="1:11" x14ac:dyDescent="0.25">
      <c r="A201" s="2">
        <v>45717.799666110172</v>
      </c>
      <c r="B201" s="3" t="s">
        <v>17</v>
      </c>
      <c r="C201" s="3" t="s">
        <v>19</v>
      </c>
      <c r="D201" s="3">
        <v>340</v>
      </c>
      <c r="E201" s="3">
        <v>212</v>
      </c>
      <c r="F201" s="3">
        <v>44</v>
      </c>
      <c r="G201" s="3">
        <v>25</v>
      </c>
      <c r="H201" s="3">
        <v>0.62352941176470589</v>
      </c>
      <c r="I201" s="3">
        <v>0.20754716981132079</v>
      </c>
      <c r="J201" s="3">
        <v>0.56818181818181823</v>
      </c>
      <c r="K201" s="3">
        <v>7.3529411764705885E-2</v>
      </c>
    </row>
    <row r="202" spans="1:11" x14ac:dyDescent="0.25">
      <c r="A202" s="2">
        <v>45718.100166944911</v>
      </c>
      <c r="B202" s="3" t="s">
        <v>14</v>
      </c>
      <c r="C202" s="3" t="s">
        <v>18</v>
      </c>
      <c r="D202" s="3">
        <v>528</v>
      </c>
      <c r="E202" s="3">
        <v>432</v>
      </c>
      <c r="F202" s="3">
        <v>84</v>
      </c>
      <c r="G202" s="3">
        <v>40</v>
      </c>
      <c r="H202" s="3">
        <v>0.81818181818181823</v>
      </c>
      <c r="I202" s="3">
        <v>0.19444444444444439</v>
      </c>
      <c r="J202" s="3">
        <v>0.47619047619047622</v>
      </c>
      <c r="K202" s="3">
        <v>7.575757575757576E-2</v>
      </c>
    </row>
    <row r="203" spans="1:11" x14ac:dyDescent="0.25">
      <c r="A203" s="2">
        <v>45718.400667779628</v>
      </c>
      <c r="B203" s="3" t="s">
        <v>16</v>
      </c>
      <c r="C203" s="3" t="s">
        <v>12</v>
      </c>
      <c r="D203" s="3">
        <v>503</v>
      </c>
      <c r="E203" s="3">
        <v>300</v>
      </c>
      <c r="F203" s="3">
        <v>61</v>
      </c>
      <c r="G203" s="3">
        <v>16</v>
      </c>
      <c r="H203" s="3">
        <v>0.59642147117296218</v>
      </c>
      <c r="I203" s="3">
        <v>0.20333333333333331</v>
      </c>
      <c r="J203" s="3">
        <v>0.26229508196721307</v>
      </c>
      <c r="K203" s="3">
        <v>3.1809145129224649E-2</v>
      </c>
    </row>
    <row r="204" spans="1:11" x14ac:dyDescent="0.25">
      <c r="A204" s="2">
        <v>45718.701168614352</v>
      </c>
      <c r="B204" s="3" t="s">
        <v>16</v>
      </c>
      <c r="C204" s="3" t="s">
        <v>12</v>
      </c>
      <c r="D204" s="3">
        <v>539</v>
      </c>
      <c r="E204" s="3">
        <v>402</v>
      </c>
      <c r="F204" s="3">
        <v>156</v>
      </c>
      <c r="G204" s="3">
        <v>70</v>
      </c>
      <c r="H204" s="3">
        <v>0.74582560296846012</v>
      </c>
      <c r="I204" s="3">
        <v>0.38805970149253732</v>
      </c>
      <c r="J204" s="3">
        <v>0.44871794871794868</v>
      </c>
      <c r="K204" s="3">
        <v>0.12987012987012991</v>
      </c>
    </row>
    <row r="205" spans="1:11" x14ac:dyDescent="0.25">
      <c r="A205" s="2">
        <v>45719.001669449077</v>
      </c>
      <c r="B205" s="3" t="s">
        <v>17</v>
      </c>
      <c r="C205" s="3" t="s">
        <v>18</v>
      </c>
      <c r="D205" s="3">
        <v>380</v>
      </c>
      <c r="E205" s="3">
        <v>206</v>
      </c>
      <c r="F205" s="3">
        <v>55</v>
      </c>
      <c r="G205" s="3">
        <v>31</v>
      </c>
      <c r="H205" s="3">
        <v>0.54210526315789476</v>
      </c>
      <c r="I205" s="3">
        <v>0.26699029126213591</v>
      </c>
      <c r="J205" s="3">
        <v>0.5636363636363636</v>
      </c>
      <c r="K205" s="3">
        <v>8.1578947368421056E-2</v>
      </c>
    </row>
    <row r="206" spans="1:11" x14ac:dyDescent="0.25">
      <c r="A206" s="2">
        <v>45719.302170283787</v>
      </c>
      <c r="B206" s="3" t="s">
        <v>15</v>
      </c>
      <c r="C206" s="3" t="s">
        <v>12</v>
      </c>
      <c r="D206" s="3">
        <v>382</v>
      </c>
      <c r="E206" s="3">
        <v>281</v>
      </c>
      <c r="F206" s="3">
        <v>66</v>
      </c>
      <c r="G206" s="3">
        <v>30</v>
      </c>
      <c r="H206" s="3">
        <v>0.73560209424083767</v>
      </c>
      <c r="I206" s="3">
        <v>0.23487544483985759</v>
      </c>
      <c r="J206" s="3">
        <v>0.45454545454545447</v>
      </c>
      <c r="K206" s="3">
        <v>7.8534031413612565E-2</v>
      </c>
    </row>
    <row r="207" spans="1:11" x14ac:dyDescent="0.25">
      <c r="A207" s="2">
        <v>45719.602671118533</v>
      </c>
      <c r="B207" s="3" t="s">
        <v>16</v>
      </c>
      <c r="C207" s="3" t="s">
        <v>18</v>
      </c>
      <c r="D207" s="3">
        <v>366</v>
      </c>
      <c r="E207" s="3">
        <v>254</v>
      </c>
      <c r="F207" s="3">
        <v>92</v>
      </c>
      <c r="G207" s="3">
        <v>31</v>
      </c>
      <c r="H207" s="3">
        <v>0.69398907103825136</v>
      </c>
      <c r="I207" s="3">
        <v>0.36220472440944879</v>
      </c>
      <c r="J207" s="3">
        <v>0.33695652173913038</v>
      </c>
      <c r="K207" s="3">
        <v>8.4699453551912565E-2</v>
      </c>
    </row>
    <row r="208" spans="1:11" x14ac:dyDescent="0.25">
      <c r="A208" s="2">
        <v>45719.90317195325</v>
      </c>
      <c r="B208" s="3" t="s">
        <v>16</v>
      </c>
      <c r="C208" s="3" t="s">
        <v>19</v>
      </c>
      <c r="D208" s="3">
        <v>474</v>
      </c>
      <c r="E208" s="3">
        <v>337</v>
      </c>
      <c r="F208" s="3">
        <v>105</v>
      </c>
      <c r="G208" s="3">
        <v>45</v>
      </c>
      <c r="H208" s="3">
        <v>0.71097046413502107</v>
      </c>
      <c r="I208" s="3">
        <v>0.31157270029673589</v>
      </c>
      <c r="J208" s="3">
        <v>0.42857142857142849</v>
      </c>
      <c r="K208" s="3">
        <v>9.49367088607595E-2</v>
      </c>
    </row>
    <row r="209" spans="1:11" x14ac:dyDescent="0.25">
      <c r="A209" s="2">
        <v>45720.203672787968</v>
      </c>
      <c r="B209" s="3" t="s">
        <v>14</v>
      </c>
      <c r="C209" s="3" t="s">
        <v>19</v>
      </c>
      <c r="D209" s="3">
        <v>89</v>
      </c>
      <c r="E209" s="3">
        <v>67</v>
      </c>
      <c r="F209" s="3">
        <v>13</v>
      </c>
      <c r="G209" s="3">
        <v>4</v>
      </c>
      <c r="H209" s="3">
        <v>0.7528089887640449</v>
      </c>
      <c r="I209" s="3">
        <v>0.19402985074626869</v>
      </c>
      <c r="J209" s="3">
        <v>0.30769230769230771</v>
      </c>
      <c r="K209" s="3">
        <v>4.49438202247191E-2</v>
      </c>
    </row>
    <row r="210" spans="1:11" x14ac:dyDescent="0.25">
      <c r="A210" s="2">
        <v>45720.504173622699</v>
      </c>
      <c r="B210" s="3" t="s">
        <v>16</v>
      </c>
      <c r="C210" s="3" t="s">
        <v>12</v>
      </c>
      <c r="D210" s="3">
        <v>349</v>
      </c>
      <c r="E210" s="3">
        <v>261</v>
      </c>
      <c r="F210" s="3">
        <v>44</v>
      </c>
      <c r="G210" s="3">
        <v>28</v>
      </c>
      <c r="H210" s="3">
        <v>0.74785100286532946</v>
      </c>
      <c r="I210" s="3">
        <v>0.16858237547892721</v>
      </c>
      <c r="J210" s="3">
        <v>0.63636363636363635</v>
      </c>
      <c r="K210" s="3">
        <v>8.0229226361031525E-2</v>
      </c>
    </row>
    <row r="211" spans="1:11" x14ac:dyDescent="0.25">
      <c r="A211" s="2">
        <v>45720.804674457417</v>
      </c>
      <c r="B211" s="3" t="s">
        <v>16</v>
      </c>
      <c r="C211" s="3" t="s">
        <v>12</v>
      </c>
      <c r="D211" s="3">
        <v>440</v>
      </c>
      <c r="E211" s="3">
        <v>252</v>
      </c>
      <c r="F211" s="3">
        <v>78</v>
      </c>
      <c r="G211" s="3">
        <v>46</v>
      </c>
      <c r="H211" s="3">
        <v>0.57272727272727275</v>
      </c>
      <c r="I211" s="3">
        <v>0.30952380952380948</v>
      </c>
      <c r="J211" s="3">
        <v>0.58974358974358976</v>
      </c>
      <c r="K211" s="3">
        <v>0.1045454545454545</v>
      </c>
    </row>
    <row r="212" spans="1:11" x14ac:dyDescent="0.25">
      <c r="A212" s="2">
        <v>45721.105175292163</v>
      </c>
      <c r="B212" s="3" t="s">
        <v>15</v>
      </c>
      <c r="C212" s="3" t="s">
        <v>19</v>
      </c>
      <c r="D212" s="3">
        <v>336</v>
      </c>
      <c r="E212" s="3">
        <v>244</v>
      </c>
      <c r="F212" s="3">
        <v>56</v>
      </c>
      <c r="G212" s="3">
        <v>33</v>
      </c>
      <c r="H212" s="3">
        <v>0.72619047619047616</v>
      </c>
      <c r="I212" s="3">
        <v>0.22950819672131151</v>
      </c>
      <c r="J212" s="3">
        <v>0.5892857142857143</v>
      </c>
      <c r="K212" s="3">
        <v>9.8214285714285712E-2</v>
      </c>
    </row>
    <row r="213" spans="1:11" x14ac:dyDescent="0.25">
      <c r="A213" s="2">
        <v>45721.405676126873</v>
      </c>
      <c r="B213" s="3" t="s">
        <v>14</v>
      </c>
      <c r="C213" s="3" t="s">
        <v>18</v>
      </c>
      <c r="D213" s="3">
        <v>212</v>
      </c>
      <c r="E213" s="3">
        <v>143</v>
      </c>
      <c r="F213" s="3">
        <v>35</v>
      </c>
      <c r="G213" s="3">
        <v>14</v>
      </c>
      <c r="H213" s="3">
        <v>0.67452830188679247</v>
      </c>
      <c r="I213" s="3">
        <v>0.24475524475524479</v>
      </c>
      <c r="J213" s="3">
        <v>0.4</v>
      </c>
      <c r="K213" s="3">
        <v>6.6037735849056603E-2</v>
      </c>
    </row>
    <row r="214" spans="1:11" x14ac:dyDescent="0.25">
      <c r="A214" s="2">
        <v>45721.706176961598</v>
      </c>
      <c r="B214" s="3" t="s">
        <v>14</v>
      </c>
      <c r="C214" s="3" t="s">
        <v>12</v>
      </c>
      <c r="D214" s="3">
        <v>355</v>
      </c>
      <c r="E214" s="3">
        <v>251</v>
      </c>
      <c r="F214" s="3">
        <v>107</v>
      </c>
      <c r="G214" s="3">
        <v>61</v>
      </c>
      <c r="H214" s="3">
        <v>0.70704225352112671</v>
      </c>
      <c r="I214" s="3">
        <v>0.42629482071713148</v>
      </c>
      <c r="J214" s="3">
        <v>0.57009345794392519</v>
      </c>
      <c r="K214" s="3">
        <v>0.17183098591549301</v>
      </c>
    </row>
    <row r="215" spans="1:11" x14ac:dyDescent="0.25">
      <c r="A215" s="2">
        <v>45722.006677796322</v>
      </c>
      <c r="B215" s="3" t="s">
        <v>16</v>
      </c>
      <c r="C215" s="3" t="s">
        <v>19</v>
      </c>
      <c r="D215" s="3">
        <v>592</v>
      </c>
      <c r="E215" s="3">
        <v>349</v>
      </c>
      <c r="F215" s="3">
        <v>120</v>
      </c>
      <c r="G215" s="3">
        <v>47</v>
      </c>
      <c r="H215" s="3">
        <v>0.58952702702702697</v>
      </c>
      <c r="I215" s="3">
        <v>0.34383954154727792</v>
      </c>
      <c r="J215" s="3">
        <v>0.39166666666666672</v>
      </c>
      <c r="K215" s="3">
        <v>7.9391891891891886E-2</v>
      </c>
    </row>
    <row r="216" spans="1:11" x14ac:dyDescent="0.25">
      <c r="A216" s="2">
        <v>45722.307178631039</v>
      </c>
      <c r="B216" s="3" t="s">
        <v>30</v>
      </c>
      <c r="C216" s="3" t="s">
        <v>18</v>
      </c>
      <c r="D216" s="3">
        <v>392</v>
      </c>
      <c r="E216" s="3">
        <v>243</v>
      </c>
      <c r="F216" s="3">
        <v>71</v>
      </c>
      <c r="G216" s="3">
        <v>26</v>
      </c>
      <c r="H216" s="3">
        <v>0.61989795918367352</v>
      </c>
      <c r="I216" s="3">
        <v>0.29218106995884768</v>
      </c>
      <c r="J216" s="3">
        <v>0.36619718309859162</v>
      </c>
      <c r="K216" s="3">
        <v>6.6326530612244902E-2</v>
      </c>
    </row>
    <row r="217" spans="1:11" x14ac:dyDescent="0.25">
      <c r="A217" s="2">
        <v>45722.607679465778</v>
      </c>
      <c r="B217" s="3" t="s">
        <v>16</v>
      </c>
      <c r="C217" s="3" t="s">
        <v>12</v>
      </c>
      <c r="D217" s="3">
        <v>363</v>
      </c>
      <c r="E217" s="3">
        <v>239</v>
      </c>
      <c r="F217" s="3">
        <v>91</v>
      </c>
      <c r="G217" s="3">
        <v>38</v>
      </c>
      <c r="H217" s="3">
        <v>0.6584022038567493</v>
      </c>
      <c r="I217" s="3">
        <v>0.3807531380753138</v>
      </c>
      <c r="J217" s="3">
        <v>0.4175824175824176</v>
      </c>
      <c r="K217" s="3">
        <v>0.1046831955922865</v>
      </c>
    </row>
    <row r="218" spans="1:11" x14ac:dyDescent="0.25">
      <c r="A218" s="2">
        <v>45722.908180300503</v>
      </c>
      <c r="B218" s="3" t="s">
        <v>11</v>
      </c>
      <c r="C218" s="3" t="s">
        <v>18</v>
      </c>
      <c r="D218" s="3">
        <v>200</v>
      </c>
      <c r="E218" s="3">
        <v>113</v>
      </c>
      <c r="F218" s="3">
        <v>24</v>
      </c>
      <c r="G218" s="3">
        <v>19</v>
      </c>
      <c r="H218" s="3">
        <v>0.56499999999999995</v>
      </c>
      <c r="I218" s="3">
        <v>0.21238938053097339</v>
      </c>
      <c r="J218" s="3">
        <v>0.79166666666666663</v>
      </c>
      <c r="K218" s="3">
        <v>9.5000000000000001E-2</v>
      </c>
    </row>
    <row r="219" spans="1:11" x14ac:dyDescent="0.25">
      <c r="A219" s="2">
        <v>45723.20868113522</v>
      </c>
      <c r="B219" s="3" t="s">
        <v>14</v>
      </c>
      <c r="C219" s="3" t="s">
        <v>12</v>
      </c>
      <c r="D219" s="3">
        <v>186</v>
      </c>
      <c r="E219" s="3">
        <v>137</v>
      </c>
      <c r="F219" s="3">
        <v>38</v>
      </c>
      <c r="G219" s="3">
        <v>17</v>
      </c>
      <c r="H219" s="3">
        <v>0.73655913978494625</v>
      </c>
      <c r="I219" s="3">
        <v>0.27737226277372262</v>
      </c>
      <c r="J219" s="3">
        <v>0.44736842105263158</v>
      </c>
      <c r="K219" s="3">
        <v>9.1397849462365593E-2</v>
      </c>
    </row>
    <row r="220" spans="1:11" x14ac:dyDescent="0.25">
      <c r="A220" s="2">
        <v>45723.509181969937</v>
      </c>
      <c r="B220" s="3" t="s">
        <v>14</v>
      </c>
      <c r="C220" s="3" t="s">
        <v>12</v>
      </c>
      <c r="D220" s="3">
        <v>283</v>
      </c>
      <c r="E220" s="3">
        <v>188</v>
      </c>
      <c r="F220" s="3">
        <v>26</v>
      </c>
      <c r="G220" s="3">
        <v>12</v>
      </c>
      <c r="H220" s="3">
        <v>0.66431095406360419</v>
      </c>
      <c r="I220" s="3">
        <v>0.13829787234042551</v>
      </c>
      <c r="J220" s="3">
        <v>0.46153846153846162</v>
      </c>
      <c r="K220" s="3">
        <v>4.2402826855123678E-2</v>
      </c>
    </row>
    <row r="221" spans="1:11" x14ac:dyDescent="0.25">
      <c r="A221" s="2">
        <v>45723.809682804662</v>
      </c>
      <c r="B221" s="3" t="s">
        <v>17</v>
      </c>
      <c r="C221" s="3" t="s">
        <v>12</v>
      </c>
      <c r="D221" s="3">
        <v>244</v>
      </c>
      <c r="E221" s="3">
        <v>138</v>
      </c>
      <c r="F221" s="3">
        <v>29</v>
      </c>
      <c r="G221" s="3">
        <v>20</v>
      </c>
      <c r="H221" s="3">
        <v>0.56557377049180324</v>
      </c>
      <c r="I221" s="3">
        <v>0.2101449275362319</v>
      </c>
      <c r="J221" s="3">
        <v>0.68965517241379315</v>
      </c>
      <c r="K221" s="3">
        <v>8.1967213114754092E-2</v>
      </c>
    </row>
    <row r="222" spans="1:11" x14ac:dyDescent="0.25">
      <c r="A222" s="2">
        <v>45724.110183639401</v>
      </c>
      <c r="B222" s="3" t="s">
        <v>14</v>
      </c>
      <c r="C222" s="3" t="s">
        <v>18</v>
      </c>
      <c r="D222" s="3">
        <v>384</v>
      </c>
      <c r="E222" s="3">
        <v>253</v>
      </c>
      <c r="F222" s="3">
        <v>61</v>
      </c>
      <c r="G222" s="3">
        <v>28</v>
      </c>
      <c r="H222" s="3">
        <v>0.65885416666666663</v>
      </c>
      <c r="I222" s="3">
        <v>0.2411067193675889</v>
      </c>
      <c r="J222" s="3">
        <v>0.45901639344262302</v>
      </c>
      <c r="K222" s="3">
        <v>7.2916666666666671E-2</v>
      </c>
    </row>
    <row r="223" spans="1:11" x14ac:dyDescent="0.25">
      <c r="A223" s="2">
        <v>45724.410684474118</v>
      </c>
      <c r="B223" s="3" t="s">
        <v>15</v>
      </c>
      <c r="C223" s="3" t="s">
        <v>12</v>
      </c>
      <c r="D223" s="3">
        <v>576</v>
      </c>
      <c r="E223" s="3">
        <v>421</v>
      </c>
      <c r="F223" s="3">
        <v>87</v>
      </c>
      <c r="G223" s="3">
        <v>25</v>
      </c>
      <c r="H223" s="3">
        <v>0.73090277777777779</v>
      </c>
      <c r="I223" s="3">
        <v>0.20665083135391921</v>
      </c>
      <c r="J223" s="3">
        <v>0.28735632183908039</v>
      </c>
      <c r="K223" s="3">
        <v>4.3402777777777783E-2</v>
      </c>
    </row>
    <row r="224" spans="1:11" x14ac:dyDescent="0.25">
      <c r="A224" s="2">
        <v>45724.711185308843</v>
      </c>
      <c r="B224" s="3" t="s">
        <v>16</v>
      </c>
      <c r="C224" s="3" t="s">
        <v>12</v>
      </c>
      <c r="D224" s="3">
        <v>635</v>
      </c>
      <c r="E224" s="3">
        <v>459</v>
      </c>
      <c r="F224" s="3">
        <v>122</v>
      </c>
      <c r="G224" s="3">
        <v>64</v>
      </c>
      <c r="H224" s="3">
        <v>0.72283464566929134</v>
      </c>
      <c r="I224" s="3">
        <v>0.26579520697167758</v>
      </c>
      <c r="J224" s="3">
        <v>0.52459016393442626</v>
      </c>
      <c r="K224" s="3">
        <v>0.10078740157480311</v>
      </c>
    </row>
    <row r="225" spans="1:11" x14ac:dyDescent="0.25">
      <c r="A225" s="2">
        <v>45725.011686143567</v>
      </c>
      <c r="B225" s="3" t="s">
        <v>11</v>
      </c>
      <c r="C225" s="3" t="s">
        <v>12</v>
      </c>
      <c r="D225" s="3">
        <v>235</v>
      </c>
      <c r="E225" s="3">
        <v>171</v>
      </c>
      <c r="F225" s="3">
        <v>49</v>
      </c>
      <c r="G225" s="3">
        <v>18</v>
      </c>
      <c r="H225" s="3">
        <v>0.72765957446808516</v>
      </c>
      <c r="I225" s="3">
        <v>0.28654970760233922</v>
      </c>
      <c r="J225" s="3">
        <v>0.36734693877551022</v>
      </c>
      <c r="K225" s="3">
        <v>7.6595744680851063E-2</v>
      </c>
    </row>
    <row r="226" spans="1:11" x14ac:dyDescent="0.25">
      <c r="A226" s="2">
        <v>45725.312186978277</v>
      </c>
      <c r="B226" s="3" t="s">
        <v>16</v>
      </c>
      <c r="C226" s="3" t="s">
        <v>12</v>
      </c>
      <c r="D226" s="3">
        <v>446</v>
      </c>
      <c r="E226" s="3">
        <v>347</v>
      </c>
      <c r="F226" s="3">
        <v>79</v>
      </c>
      <c r="G226" s="3">
        <v>39</v>
      </c>
      <c r="H226" s="3">
        <v>0.77802690582959644</v>
      </c>
      <c r="I226" s="3">
        <v>0.2276657060518732</v>
      </c>
      <c r="J226" s="3">
        <v>0.49367088607594939</v>
      </c>
      <c r="K226" s="3">
        <v>8.744394618834081E-2</v>
      </c>
    </row>
    <row r="227" spans="1:11" x14ac:dyDescent="0.25">
      <c r="A227" s="2">
        <v>45725.612687813024</v>
      </c>
      <c r="B227" s="3" t="s">
        <v>16</v>
      </c>
      <c r="C227" s="3" t="s">
        <v>18</v>
      </c>
      <c r="D227" s="3">
        <v>330</v>
      </c>
      <c r="E227" s="3">
        <v>251</v>
      </c>
      <c r="F227" s="3">
        <v>78</v>
      </c>
      <c r="G227" s="3">
        <v>41</v>
      </c>
      <c r="H227" s="3">
        <v>0.76060606060606062</v>
      </c>
      <c r="I227" s="3">
        <v>0.31075697211155379</v>
      </c>
      <c r="J227" s="3">
        <v>0.52564102564102566</v>
      </c>
      <c r="K227" s="3">
        <v>0.1242424242424242</v>
      </c>
    </row>
    <row r="228" spans="1:11" x14ac:dyDescent="0.25">
      <c r="A228" s="2">
        <v>45725.913188647741</v>
      </c>
      <c r="B228" s="3" t="s">
        <v>13</v>
      </c>
      <c r="C228" s="3" t="s">
        <v>12</v>
      </c>
      <c r="D228" s="3">
        <v>413</v>
      </c>
      <c r="E228" s="3">
        <v>252</v>
      </c>
      <c r="F228" s="3">
        <v>118</v>
      </c>
      <c r="G228" s="3">
        <v>51</v>
      </c>
      <c r="H228" s="3">
        <v>0.61016949152542377</v>
      </c>
      <c r="I228" s="3">
        <v>0.46825396825396831</v>
      </c>
      <c r="J228" s="3">
        <v>0.43220338983050849</v>
      </c>
      <c r="K228" s="3">
        <v>0.12348668280871671</v>
      </c>
    </row>
    <row r="229" spans="1:11" x14ac:dyDescent="0.25">
      <c r="A229" s="2">
        <v>45726.213689482473</v>
      </c>
      <c r="B229" s="3" t="s">
        <v>11</v>
      </c>
      <c r="C229" s="3" t="s">
        <v>12</v>
      </c>
      <c r="D229" s="3">
        <v>590</v>
      </c>
      <c r="E229" s="3">
        <v>377</v>
      </c>
      <c r="F229" s="3">
        <v>70</v>
      </c>
      <c r="G229" s="3">
        <v>37</v>
      </c>
      <c r="H229" s="3">
        <v>0.63898305084745766</v>
      </c>
      <c r="I229" s="3">
        <v>0.1856763925729443</v>
      </c>
      <c r="J229" s="3">
        <v>0.52857142857142858</v>
      </c>
      <c r="K229" s="3">
        <v>6.2711864406779658E-2</v>
      </c>
    </row>
    <row r="230" spans="1:11" x14ac:dyDescent="0.25">
      <c r="A230" s="2">
        <v>45726.51419031719</v>
      </c>
      <c r="B230" s="3" t="s">
        <v>17</v>
      </c>
      <c r="C230" s="3" t="s">
        <v>18</v>
      </c>
      <c r="D230" s="3">
        <v>372</v>
      </c>
      <c r="E230" s="3">
        <v>239</v>
      </c>
      <c r="F230" s="3">
        <v>77</v>
      </c>
      <c r="G230" s="3">
        <v>39</v>
      </c>
      <c r="H230" s="3">
        <v>0.64247311827956988</v>
      </c>
      <c r="I230" s="3">
        <v>0.32217573221757317</v>
      </c>
      <c r="J230" s="3">
        <v>0.50649350649350644</v>
      </c>
      <c r="K230" s="3">
        <v>0.1048387096774194</v>
      </c>
    </row>
    <row r="231" spans="1:11" x14ac:dyDescent="0.25">
      <c r="A231" s="2">
        <v>45726.814691151907</v>
      </c>
      <c r="B231" s="3" t="s">
        <v>15</v>
      </c>
      <c r="C231" s="3" t="s">
        <v>12</v>
      </c>
      <c r="D231" s="3">
        <v>99</v>
      </c>
      <c r="E231" s="3">
        <v>75</v>
      </c>
      <c r="F231" s="3">
        <v>22</v>
      </c>
      <c r="G231" s="3">
        <v>14</v>
      </c>
      <c r="H231" s="3">
        <v>0.75757575757575757</v>
      </c>
      <c r="I231" s="3">
        <v>0.29333333333333328</v>
      </c>
      <c r="J231" s="3">
        <v>0.63636363636363635</v>
      </c>
      <c r="K231" s="3">
        <v>0.14141414141414141</v>
      </c>
    </row>
    <row r="232" spans="1:11" x14ac:dyDescent="0.25">
      <c r="A232" s="2">
        <v>45727.115191986653</v>
      </c>
      <c r="B232" s="3" t="s">
        <v>17</v>
      </c>
      <c r="C232" s="3" t="s">
        <v>12</v>
      </c>
      <c r="D232" s="3">
        <v>361</v>
      </c>
      <c r="E232" s="3">
        <v>221</v>
      </c>
      <c r="F232" s="3">
        <v>77</v>
      </c>
      <c r="G232" s="3">
        <v>34</v>
      </c>
      <c r="H232" s="3">
        <v>0.61218836565096957</v>
      </c>
      <c r="I232" s="3">
        <v>0.34841628959276022</v>
      </c>
      <c r="J232" s="3">
        <v>0.44155844155844148</v>
      </c>
      <c r="K232" s="3">
        <v>9.4182825484764546E-2</v>
      </c>
    </row>
    <row r="233" spans="1:11" x14ac:dyDescent="0.25">
      <c r="A233" s="2">
        <v>45727.415692821363</v>
      </c>
      <c r="B233" s="3" t="s">
        <v>15</v>
      </c>
      <c r="C233" s="3" t="s">
        <v>12</v>
      </c>
      <c r="D233" s="3">
        <v>80</v>
      </c>
      <c r="E233" s="3">
        <v>49</v>
      </c>
      <c r="F233" s="3">
        <v>13</v>
      </c>
      <c r="G233" s="3">
        <v>7</v>
      </c>
      <c r="H233" s="3">
        <v>0.61250000000000004</v>
      </c>
      <c r="I233" s="3">
        <v>0.26530612244897961</v>
      </c>
      <c r="J233" s="3">
        <v>0.53846153846153844</v>
      </c>
      <c r="K233" s="3">
        <v>8.7499999999999994E-2</v>
      </c>
    </row>
    <row r="234" spans="1:11" x14ac:dyDescent="0.25">
      <c r="A234" s="2">
        <v>45727.716193656088</v>
      </c>
      <c r="B234" s="3" t="s">
        <v>15</v>
      </c>
      <c r="C234" s="3" t="s">
        <v>12</v>
      </c>
      <c r="D234" s="3">
        <v>198</v>
      </c>
      <c r="E234" s="3">
        <v>117</v>
      </c>
      <c r="F234" s="3">
        <v>56</v>
      </c>
      <c r="G234" s="3">
        <v>21</v>
      </c>
      <c r="H234" s="3">
        <v>0.59090909090909094</v>
      </c>
      <c r="I234" s="3">
        <v>0.47863247863247871</v>
      </c>
      <c r="J234" s="3">
        <v>0.375</v>
      </c>
      <c r="K234" s="3">
        <v>0.10606060606060611</v>
      </c>
    </row>
    <row r="235" spans="1:11" x14ac:dyDescent="0.25">
      <c r="A235" s="2">
        <v>45728.016694490812</v>
      </c>
      <c r="B235" s="3" t="s">
        <v>15</v>
      </c>
      <c r="C235" s="3" t="s">
        <v>12</v>
      </c>
      <c r="D235" s="3">
        <v>114</v>
      </c>
      <c r="E235" s="3">
        <v>84</v>
      </c>
      <c r="F235" s="3">
        <v>17</v>
      </c>
      <c r="G235" s="3">
        <v>7</v>
      </c>
      <c r="H235" s="3">
        <v>0.73684210526315785</v>
      </c>
      <c r="I235" s="3">
        <v>0.20238095238095241</v>
      </c>
      <c r="J235" s="3">
        <v>0.41176470588235292</v>
      </c>
      <c r="K235" s="3">
        <v>6.1403508771929821E-2</v>
      </c>
    </row>
    <row r="236" spans="1:11" x14ac:dyDescent="0.25">
      <c r="A236" s="2">
        <v>45728.31719532553</v>
      </c>
      <c r="B236" s="3" t="s">
        <v>16</v>
      </c>
      <c r="C236" s="3" t="s">
        <v>12</v>
      </c>
      <c r="D236" s="3">
        <v>277</v>
      </c>
      <c r="E236" s="3">
        <v>174</v>
      </c>
      <c r="F236" s="3">
        <v>60</v>
      </c>
      <c r="G236" s="3">
        <v>26</v>
      </c>
      <c r="H236" s="3">
        <v>0.62815884476534301</v>
      </c>
      <c r="I236" s="3">
        <v>0.34482758620689657</v>
      </c>
      <c r="J236" s="3">
        <v>0.43333333333333329</v>
      </c>
      <c r="K236" s="3">
        <v>9.3862815884476536E-2</v>
      </c>
    </row>
    <row r="237" spans="1:11" x14ac:dyDescent="0.25">
      <c r="A237" s="2">
        <v>45728.617696160269</v>
      </c>
      <c r="B237" s="3" t="s">
        <v>14</v>
      </c>
      <c r="C237" s="3" t="s">
        <v>12</v>
      </c>
      <c r="D237" s="3">
        <v>564</v>
      </c>
      <c r="E237" s="3">
        <v>316</v>
      </c>
      <c r="F237" s="3">
        <v>61</v>
      </c>
      <c r="G237" s="3">
        <v>24</v>
      </c>
      <c r="H237" s="3">
        <v>0.56028368794326244</v>
      </c>
      <c r="I237" s="3">
        <v>0.19303797468354431</v>
      </c>
      <c r="J237" s="3">
        <v>0.39344262295081972</v>
      </c>
      <c r="K237" s="3">
        <v>4.2553191489361701E-2</v>
      </c>
    </row>
    <row r="238" spans="1:11" x14ac:dyDescent="0.25">
      <c r="A238" s="2">
        <v>45728.918196994993</v>
      </c>
      <c r="B238" s="3" t="s">
        <v>11</v>
      </c>
      <c r="C238" s="3" t="s">
        <v>18</v>
      </c>
      <c r="D238" s="3">
        <v>138</v>
      </c>
      <c r="E238" s="3">
        <v>115</v>
      </c>
      <c r="F238" s="3">
        <v>29</v>
      </c>
      <c r="G238" s="3">
        <v>10</v>
      </c>
      <c r="H238" s="3">
        <v>0.83333333333333337</v>
      </c>
      <c r="I238" s="3">
        <v>0.25217391304347819</v>
      </c>
      <c r="J238" s="3">
        <v>0.34482758620689657</v>
      </c>
      <c r="K238" s="3">
        <v>7.2463768115942032E-2</v>
      </c>
    </row>
    <row r="239" spans="1:11" x14ac:dyDescent="0.25">
      <c r="A239" s="2">
        <v>45729.21869782971</v>
      </c>
      <c r="B239" s="3" t="s">
        <v>16</v>
      </c>
      <c r="C239" s="3" t="s">
        <v>12</v>
      </c>
      <c r="D239" s="3">
        <v>240</v>
      </c>
      <c r="E239" s="3">
        <v>139</v>
      </c>
      <c r="F239" s="3">
        <v>30</v>
      </c>
      <c r="G239" s="3">
        <v>13</v>
      </c>
      <c r="H239" s="3">
        <v>0.57916666666666672</v>
      </c>
      <c r="I239" s="3">
        <v>0.21582733812949639</v>
      </c>
      <c r="J239" s="3">
        <v>0.43333333333333329</v>
      </c>
      <c r="K239" s="3">
        <v>5.4166666666666669E-2</v>
      </c>
    </row>
    <row r="240" spans="1:11" x14ac:dyDescent="0.25">
      <c r="A240" s="2">
        <v>45729.519198664428</v>
      </c>
      <c r="B240" s="3" t="s">
        <v>14</v>
      </c>
      <c r="C240" s="3" t="s">
        <v>18</v>
      </c>
      <c r="D240" s="3">
        <v>285</v>
      </c>
      <c r="E240" s="3">
        <v>184</v>
      </c>
      <c r="F240" s="3">
        <v>74</v>
      </c>
      <c r="G240" s="3">
        <v>36</v>
      </c>
      <c r="H240" s="3">
        <v>0.64561403508771931</v>
      </c>
      <c r="I240" s="3">
        <v>0.40217391304347833</v>
      </c>
      <c r="J240" s="3">
        <v>0.48648648648648651</v>
      </c>
      <c r="K240" s="3">
        <v>0.12631578947368419</v>
      </c>
    </row>
    <row r="241" spans="1:11" x14ac:dyDescent="0.25">
      <c r="A241" s="2">
        <v>45729.819699499152</v>
      </c>
      <c r="B241" s="3" t="s">
        <v>16</v>
      </c>
      <c r="C241" s="3" t="s">
        <v>18</v>
      </c>
      <c r="D241" s="3">
        <v>91</v>
      </c>
      <c r="E241" s="3">
        <v>50</v>
      </c>
      <c r="F241" s="3">
        <v>12</v>
      </c>
      <c r="G241" s="3">
        <v>8</v>
      </c>
      <c r="H241" s="3">
        <v>0.5494505494505495</v>
      </c>
      <c r="I241" s="3">
        <v>0.24</v>
      </c>
      <c r="J241" s="3">
        <v>0.66666666666666663</v>
      </c>
      <c r="K241" s="3">
        <v>8.7912087912087919E-2</v>
      </c>
    </row>
    <row r="242" spans="1:11" x14ac:dyDescent="0.25">
      <c r="A242" s="2">
        <v>45730.120200333891</v>
      </c>
      <c r="B242" s="3" t="s">
        <v>13</v>
      </c>
      <c r="C242" s="3" t="s">
        <v>12</v>
      </c>
      <c r="D242" s="3">
        <v>569</v>
      </c>
      <c r="E242" s="3">
        <v>332</v>
      </c>
      <c r="F242" s="3">
        <v>84</v>
      </c>
      <c r="G242" s="3">
        <v>46</v>
      </c>
      <c r="H242" s="3">
        <v>0.58347978910369069</v>
      </c>
      <c r="I242" s="3">
        <v>0.25301204819277112</v>
      </c>
      <c r="J242" s="3">
        <v>0.54761904761904767</v>
      </c>
      <c r="K242" s="3">
        <v>8.0843585237258347E-2</v>
      </c>
    </row>
    <row r="243" spans="1:11" x14ac:dyDescent="0.25">
      <c r="A243" s="2">
        <v>45730.420701168609</v>
      </c>
      <c r="B243" s="3" t="s">
        <v>13</v>
      </c>
      <c r="C243" s="3" t="s">
        <v>18</v>
      </c>
      <c r="D243" s="3">
        <v>355</v>
      </c>
      <c r="E243" s="3">
        <v>262</v>
      </c>
      <c r="F243" s="3">
        <v>64</v>
      </c>
      <c r="G243" s="3">
        <v>44</v>
      </c>
      <c r="H243" s="3">
        <v>0.73802816901408452</v>
      </c>
      <c r="I243" s="3">
        <v>0.24427480916030531</v>
      </c>
      <c r="J243" s="3">
        <v>0.6875</v>
      </c>
      <c r="K243" s="3">
        <v>0.123943661971831</v>
      </c>
    </row>
    <row r="244" spans="1:11" x14ac:dyDescent="0.25">
      <c r="A244" s="2">
        <v>45730.721202003333</v>
      </c>
      <c r="B244" s="3" t="s">
        <v>17</v>
      </c>
      <c r="C244" s="3" t="s">
        <v>12</v>
      </c>
      <c r="D244" s="3">
        <v>321</v>
      </c>
      <c r="E244" s="3">
        <v>215</v>
      </c>
      <c r="F244" s="3">
        <v>65</v>
      </c>
      <c r="G244" s="3">
        <v>36</v>
      </c>
      <c r="H244" s="3">
        <v>0.66978193146417442</v>
      </c>
      <c r="I244" s="3">
        <v>0.30232558139534882</v>
      </c>
      <c r="J244" s="3">
        <v>0.55384615384615388</v>
      </c>
      <c r="K244" s="3">
        <v>0.1121495327102804</v>
      </c>
    </row>
    <row r="245" spans="1:11" x14ac:dyDescent="0.25">
      <c r="A245" s="2">
        <v>45731.021702838058</v>
      </c>
      <c r="B245" s="3" t="s">
        <v>11</v>
      </c>
      <c r="C245" s="3" t="s">
        <v>19</v>
      </c>
      <c r="D245" s="3">
        <v>295</v>
      </c>
      <c r="E245" s="3">
        <v>210</v>
      </c>
      <c r="F245" s="3">
        <v>81</v>
      </c>
      <c r="G245" s="3">
        <v>38</v>
      </c>
      <c r="H245" s="3">
        <v>0.71186440677966101</v>
      </c>
      <c r="I245" s="3">
        <v>0.38571428571428568</v>
      </c>
      <c r="J245" s="3">
        <v>0.46913580246913578</v>
      </c>
      <c r="K245" s="3">
        <v>0.12881355932203389</v>
      </c>
    </row>
    <row r="246" spans="1:11" x14ac:dyDescent="0.25">
      <c r="A246" s="2">
        <v>45731.322203672768</v>
      </c>
      <c r="B246" s="3" t="s">
        <v>16</v>
      </c>
      <c r="C246" s="3" t="s">
        <v>12</v>
      </c>
      <c r="D246" s="3">
        <v>330</v>
      </c>
      <c r="E246" s="3">
        <v>233</v>
      </c>
      <c r="F246" s="3">
        <v>92</v>
      </c>
      <c r="G246" s="3">
        <v>48</v>
      </c>
      <c r="H246" s="3">
        <v>0.70606060606060606</v>
      </c>
      <c r="I246" s="3">
        <v>0.39484978540772531</v>
      </c>
      <c r="J246" s="3">
        <v>0.52173913043478259</v>
      </c>
      <c r="K246" s="3">
        <v>0.14545454545454539</v>
      </c>
    </row>
    <row r="247" spans="1:11" x14ac:dyDescent="0.25">
      <c r="A247" s="2">
        <v>45731.622704507507</v>
      </c>
      <c r="B247" s="3" t="s">
        <v>13</v>
      </c>
      <c r="C247" s="3" t="s">
        <v>12</v>
      </c>
      <c r="D247" s="3">
        <v>205</v>
      </c>
      <c r="E247" s="3">
        <v>114</v>
      </c>
      <c r="F247" s="3">
        <v>28</v>
      </c>
      <c r="G247" s="3">
        <v>13</v>
      </c>
      <c r="H247" s="3">
        <v>0.55609756097560981</v>
      </c>
      <c r="I247" s="3">
        <v>0.24561403508771931</v>
      </c>
      <c r="J247" s="3">
        <v>0.4642857142857143</v>
      </c>
      <c r="K247" s="3">
        <v>6.3414634146341464E-2</v>
      </c>
    </row>
    <row r="248" spans="1:11" x14ac:dyDescent="0.25">
      <c r="A248" s="2">
        <v>45731.923205342231</v>
      </c>
      <c r="B248" s="3" t="s">
        <v>11</v>
      </c>
      <c r="C248" s="3" t="s">
        <v>12</v>
      </c>
      <c r="D248" s="3">
        <v>296</v>
      </c>
      <c r="E248" s="3">
        <v>191</v>
      </c>
      <c r="F248" s="3">
        <v>69</v>
      </c>
      <c r="G248" s="3">
        <v>27</v>
      </c>
      <c r="H248" s="3">
        <v>0.64527027027027029</v>
      </c>
      <c r="I248" s="3">
        <v>0.36125654450261779</v>
      </c>
      <c r="J248" s="3">
        <v>0.39130434782608697</v>
      </c>
      <c r="K248" s="3">
        <v>9.1216216216216214E-2</v>
      </c>
    </row>
    <row r="249" spans="1:11" x14ac:dyDescent="0.25">
      <c r="A249" s="2">
        <v>45732.223706176963</v>
      </c>
      <c r="B249" s="3" t="s">
        <v>13</v>
      </c>
      <c r="C249" s="3" t="s">
        <v>19</v>
      </c>
      <c r="D249" s="3">
        <v>385</v>
      </c>
      <c r="E249" s="3">
        <v>302</v>
      </c>
      <c r="F249" s="3">
        <v>123</v>
      </c>
      <c r="G249" s="3">
        <v>66</v>
      </c>
      <c r="H249" s="3">
        <v>0.78441558441558445</v>
      </c>
      <c r="I249" s="3">
        <v>0.40728476821192061</v>
      </c>
      <c r="J249" s="3">
        <v>0.53658536585365857</v>
      </c>
      <c r="K249" s="3">
        <v>0.1714285714285714</v>
      </c>
    </row>
    <row r="250" spans="1:11" x14ac:dyDescent="0.25">
      <c r="A250" s="2">
        <v>45732.52420701168</v>
      </c>
      <c r="B250" s="3" t="s">
        <v>13</v>
      </c>
      <c r="C250" s="3" t="s">
        <v>12</v>
      </c>
      <c r="D250" s="3">
        <v>264</v>
      </c>
      <c r="E250" s="3">
        <v>180</v>
      </c>
      <c r="F250" s="3">
        <v>46</v>
      </c>
      <c r="G250" s="3">
        <v>26</v>
      </c>
      <c r="H250" s="3">
        <v>0.68181818181818177</v>
      </c>
      <c r="I250" s="3">
        <v>0.25555555555555548</v>
      </c>
      <c r="J250" s="3">
        <v>0.56521739130434778</v>
      </c>
      <c r="K250" s="3">
        <v>9.8484848484848481E-2</v>
      </c>
    </row>
    <row r="251" spans="1:11" x14ac:dyDescent="0.25">
      <c r="A251" s="2">
        <v>45732.824707846397</v>
      </c>
      <c r="B251" s="3" t="s">
        <v>17</v>
      </c>
      <c r="C251" s="3" t="s">
        <v>18</v>
      </c>
      <c r="D251" s="3">
        <v>118</v>
      </c>
      <c r="E251" s="3">
        <v>91</v>
      </c>
      <c r="F251" s="3">
        <v>37</v>
      </c>
      <c r="G251" s="3">
        <v>12</v>
      </c>
      <c r="H251" s="3">
        <v>0.77118644067796616</v>
      </c>
      <c r="I251" s="3">
        <v>0.40659340659340659</v>
      </c>
      <c r="J251" s="3">
        <v>0.32432432432432429</v>
      </c>
      <c r="K251" s="3">
        <v>0.10169491525423729</v>
      </c>
    </row>
    <row r="252" spans="1:11" x14ac:dyDescent="0.25">
      <c r="A252" s="2">
        <v>45733.125208681136</v>
      </c>
      <c r="B252" s="3" t="s">
        <v>11</v>
      </c>
      <c r="C252" s="3" t="s">
        <v>12</v>
      </c>
      <c r="D252" s="3">
        <v>302</v>
      </c>
      <c r="E252" s="3">
        <v>189</v>
      </c>
      <c r="F252" s="3">
        <v>70</v>
      </c>
      <c r="G252" s="3">
        <v>36</v>
      </c>
      <c r="H252" s="3">
        <v>0.6258278145695364</v>
      </c>
      <c r="I252" s="3">
        <v>0.37037037037037029</v>
      </c>
      <c r="J252" s="3">
        <v>0.51428571428571423</v>
      </c>
      <c r="K252" s="3">
        <v>0.119205298013245</v>
      </c>
    </row>
    <row r="253" spans="1:11" x14ac:dyDescent="0.25">
      <c r="A253" s="2">
        <v>45733.425709515846</v>
      </c>
      <c r="B253" s="3" t="s">
        <v>11</v>
      </c>
      <c r="C253" s="3" t="s">
        <v>18</v>
      </c>
      <c r="D253" s="3">
        <v>263</v>
      </c>
      <c r="E253" s="3">
        <v>149</v>
      </c>
      <c r="F253" s="3">
        <v>33</v>
      </c>
      <c r="G253" s="3">
        <v>7</v>
      </c>
      <c r="H253" s="3">
        <v>0.56653992395437258</v>
      </c>
      <c r="I253" s="3">
        <v>0.22147651006711411</v>
      </c>
      <c r="J253" s="3">
        <v>0.2121212121212121</v>
      </c>
      <c r="K253" s="3">
        <v>2.6615969581749051E-2</v>
      </c>
    </row>
    <row r="254" spans="1:11" x14ac:dyDescent="0.25">
      <c r="A254" s="2">
        <v>45733.726210350578</v>
      </c>
      <c r="B254" s="3" t="s">
        <v>17</v>
      </c>
      <c r="C254" s="3" t="s">
        <v>12</v>
      </c>
      <c r="D254" s="3">
        <v>574</v>
      </c>
      <c r="E254" s="3">
        <v>424</v>
      </c>
      <c r="F254" s="3">
        <v>142</v>
      </c>
      <c r="G254" s="3">
        <v>62</v>
      </c>
      <c r="H254" s="3">
        <v>0.73867595818815335</v>
      </c>
      <c r="I254" s="3">
        <v>0.33490566037735853</v>
      </c>
      <c r="J254" s="3">
        <v>0.43661971830985907</v>
      </c>
      <c r="K254" s="3">
        <v>0.10801393728222999</v>
      </c>
    </row>
    <row r="255" spans="1:11" x14ac:dyDescent="0.25">
      <c r="A255" s="2">
        <v>45734.026711185303</v>
      </c>
      <c r="B255" s="3" t="s">
        <v>11</v>
      </c>
      <c r="C255" s="3" t="s">
        <v>18</v>
      </c>
      <c r="D255" s="3">
        <v>506</v>
      </c>
      <c r="E255" s="3">
        <v>370</v>
      </c>
      <c r="F255" s="3">
        <v>147</v>
      </c>
      <c r="G255" s="3">
        <v>54</v>
      </c>
      <c r="H255" s="3">
        <v>0.73122529644268774</v>
      </c>
      <c r="I255" s="3">
        <v>0.39729729729729729</v>
      </c>
      <c r="J255" s="3">
        <v>0.36734693877551022</v>
      </c>
      <c r="K255" s="3">
        <v>0.1067193675889328</v>
      </c>
    </row>
    <row r="256" spans="1:11" x14ac:dyDescent="0.25">
      <c r="A256" s="2">
        <v>45734.32721202002</v>
      </c>
      <c r="B256" s="3" t="s">
        <v>16</v>
      </c>
      <c r="C256" s="3" t="s">
        <v>12</v>
      </c>
      <c r="D256" s="3">
        <v>257</v>
      </c>
      <c r="E256" s="3">
        <v>175</v>
      </c>
      <c r="F256" s="3">
        <v>62</v>
      </c>
      <c r="G256" s="3">
        <v>24</v>
      </c>
      <c r="H256" s="3">
        <v>0.68093385214007784</v>
      </c>
      <c r="I256" s="3">
        <v>0.35428571428571431</v>
      </c>
      <c r="J256" s="3">
        <v>0.38709677419354838</v>
      </c>
      <c r="K256" s="3">
        <v>9.3385214007782102E-2</v>
      </c>
    </row>
    <row r="257" spans="1:11" x14ac:dyDescent="0.25">
      <c r="A257" s="2">
        <v>45734.627712854759</v>
      </c>
      <c r="B257" s="3" t="s">
        <v>15</v>
      </c>
      <c r="C257" s="3" t="s">
        <v>12</v>
      </c>
      <c r="D257" s="3">
        <v>507</v>
      </c>
      <c r="E257" s="3">
        <v>320</v>
      </c>
      <c r="F257" s="3">
        <v>66</v>
      </c>
      <c r="G257" s="3">
        <v>13</v>
      </c>
      <c r="H257" s="3">
        <v>0.63116370808678501</v>
      </c>
      <c r="I257" s="3">
        <v>0.20624999999999999</v>
      </c>
      <c r="J257" s="3">
        <v>0.19696969696969699</v>
      </c>
      <c r="K257" s="3">
        <v>2.564102564102564E-2</v>
      </c>
    </row>
    <row r="258" spans="1:11" x14ac:dyDescent="0.25">
      <c r="A258" s="2">
        <v>45734.928213689484</v>
      </c>
      <c r="B258" s="3" t="s">
        <v>13</v>
      </c>
      <c r="C258" s="3" t="s">
        <v>12</v>
      </c>
      <c r="D258" s="3">
        <v>373</v>
      </c>
      <c r="E258" s="3">
        <v>219</v>
      </c>
      <c r="F258" s="3">
        <v>69</v>
      </c>
      <c r="G258" s="3">
        <v>25</v>
      </c>
      <c r="H258" s="3">
        <v>0.58713136729222515</v>
      </c>
      <c r="I258" s="3">
        <v>0.31506849315068491</v>
      </c>
      <c r="J258" s="3">
        <v>0.36231884057971009</v>
      </c>
      <c r="K258" s="3">
        <v>6.7024128686327081E-2</v>
      </c>
    </row>
    <row r="259" spans="1:11" x14ac:dyDescent="0.25">
      <c r="A259" s="2">
        <v>45735.228714524201</v>
      </c>
      <c r="B259" s="3" t="s">
        <v>14</v>
      </c>
      <c r="C259" s="3" t="s">
        <v>12</v>
      </c>
      <c r="D259" s="3">
        <v>230</v>
      </c>
      <c r="E259" s="3">
        <v>155</v>
      </c>
      <c r="F259" s="3">
        <v>34</v>
      </c>
      <c r="G259" s="3">
        <v>12</v>
      </c>
      <c r="H259" s="3">
        <v>0.67391304347826086</v>
      </c>
      <c r="I259" s="3">
        <v>0.2193548387096774</v>
      </c>
      <c r="J259" s="3">
        <v>0.35294117647058831</v>
      </c>
      <c r="K259" s="3">
        <v>5.2173913043478258E-2</v>
      </c>
    </row>
    <row r="260" spans="1:11" x14ac:dyDescent="0.25">
      <c r="A260" s="2">
        <v>45735.529215358933</v>
      </c>
      <c r="B260" s="3" t="s">
        <v>15</v>
      </c>
      <c r="C260" s="3" t="s">
        <v>12</v>
      </c>
      <c r="D260" s="3">
        <v>463</v>
      </c>
      <c r="E260" s="3">
        <v>361</v>
      </c>
      <c r="F260" s="3">
        <v>81</v>
      </c>
      <c r="G260" s="3">
        <v>43</v>
      </c>
      <c r="H260" s="3">
        <v>0.77969762419006483</v>
      </c>
      <c r="I260" s="3">
        <v>0.22437673130193911</v>
      </c>
      <c r="J260" s="3">
        <v>0.53086419753086422</v>
      </c>
      <c r="K260" s="3">
        <v>9.2872570194384454E-2</v>
      </c>
    </row>
    <row r="261" spans="1:11" x14ac:dyDescent="0.25">
      <c r="A261" s="2">
        <v>45735.829716193643</v>
      </c>
      <c r="B261" s="3" t="s">
        <v>16</v>
      </c>
      <c r="C261" s="3" t="s">
        <v>12</v>
      </c>
      <c r="D261" s="3">
        <v>387</v>
      </c>
      <c r="E261" s="3">
        <v>269</v>
      </c>
      <c r="F261" s="3">
        <v>113</v>
      </c>
      <c r="G261" s="3">
        <v>60</v>
      </c>
      <c r="H261" s="3">
        <v>0.69509043927648584</v>
      </c>
      <c r="I261" s="3">
        <v>0.4200743494423792</v>
      </c>
      <c r="J261" s="3">
        <v>0.53097345132743368</v>
      </c>
      <c r="K261" s="3">
        <v>0.15503875968992251</v>
      </c>
    </row>
    <row r="262" spans="1:11" x14ac:dyDescent="0.25">
      <c r="A262" s="2">
        <v>45736.130217028382</v>
      </c>
      <c r="B262" s="3" t="s">
        <v>15</v>
      </c>
      <c r="C262" s="3" t="s">
        <v>18</v>
      </c>
      <c r="D262" s="3">
        <v>415</v>
      </c>
      <c r="E262" s="3">
        <v>266</v>
      </c>
      <c r="F262" s="3">
        <v>102</v>
      </c>
      <c r="G262" s="3">
        <v>37</v>
      </c>
      <c r="H262" s="3">
        <v>0.64096385542168677</v>
      </c>
      <c r="I262" s="3">
        <v>0.38345864661654128</v>
      </c>
      <c r="J262" s="3">
        <v>0.36274509803921567</v>
      </c>
      <c r="K262" s="3">
        <v>8.91566265060241E-2</v>
      </c>
    </row>
    <row r="263" spans="1:11" x14ac:dyDescent="0.25">
      <c r="A263" s="2">
        <v>45736.430717863099</v>
      </c>
      <c r="B263" s="3" t="s">
        <v>13</v>
      </c>
      <c r="C263" s="3" t="s">
        <v>12</v>
      </c>
      <c r="D263" s="3">
        <v>454</v>
      </c>
      <c r="E263" s="3">
        <v>254</v>
      </c>
      <c r="F263" s="3">
        <v>93</v>
      </c>
      <c r="G263" s="3">
        <v>17</v>
      </c>
      <c r="H263" s="3">
        <v>0.55947136563876654</v>
      </c>
      <c r="I263" s="3">
        <v>0.36614173228346458</v>
      </c>
      <c r="J263" s="3">
        <v>0.18279569892473119</v>
      </c>
      <c r="K263" s="3">
        <v>3.7444933920704852E-2</v>
      </c>
    </row>
    <row r="264" spans="1:11" x14ac:dyDescent="0.25">
      <c r="A264" s="2">
        <v>45736.731218697823</v>
      </c>
      <c r="B264" s="3" t="s">
        <v>16</v>
      </c>
      <c r="C264" s="3" t="s">
        <v>12</v>
      </c>
      <c r="D264" s="3">
        <v>87</v>
      </c>
      <c r="E264" s="3">
        <v>46</v>
      </c>
      <c r="F264" s="3">
        <v>4</v>
      </c>
      <c r="G264" s="3">
        <v>1</v>
      </c>
      <c r="H264" s="3">
        <v>0.52873563218390807</v>
      </c>
      <c r="I264" s="3">
        <v>8.6956521739130432E-2</v>
      </c>
      <c r="J264" s="3">
        <v>0.25</v>
      </c>
      <c r="K264" s="3">
        <v>1.149425287356322E-2</v>
      </c>
    </row>
    <row r="265" spans="1:11" x14ac:dyDescent="0.25">
      <c r="A265" s="2">
        <v>45737.031719532548</v>
      </c>
      <c r="B265" s="3" t="s">
        <v>15</v>
      </c>
      <c r="C265" s="3" t="s">
        <v>12</v>
      </c>
      <c r="D265" s="3">
        <v>420</v>
      </c>
      <c r="E265" s="3">
        <v>243</v>
      </c>
      <c r="F265" s="3">
        <v>84</v>
      </c>
      <c r="G265" s="3">
        <v>40</v>
      </c>
      <c r="H265" s="3">
        <v>0.57857142857142863</v>
      </c>
      <c r="I265" s="3">
        <v>0.34567901234567899</v>
      </c>
      <c r="J265" s="3">
        <v>0.47619047619047622</v>
      </c>
      <c r="K265" s="3">
        <v>9.5238095238095233E-2</v>
      </c>
    </row>
    <row r="266" spans="1:11" x14ac:dyDescent="0.25">
      <c r="A266" s="2">
        <v>45737.332220367272</v>
      </c>
      <c r="B266" s="3" t="s">
        <v>17</v>
      </c>
      <c r="C266" s="3" t="s">
        <v>12</v>
      </c>
      <c r="D266" s="3">
        <v>208</v>
      </c>
      <c r="E266" s="3">
        <v>129</v>
      </c>
      <c r="F266" s="3">
        <v>51</v>
      </c>
      <c r="G266" s="3">
        <v>30</v>
      </c>
      <c r="H266" s="3">
        <v>0.62019230769230771</v>
      </c>
      <c r="I266" s="3">
        <v>0.39534883720930231</v>
      </c>
      <c r="J266" s="3">
        <v>0.58823529411764708</v>
      </c>
      <c r="K266" s="3">
        <v>0.14423076923076919</v>
      </c>
    </row>
    <row r="267" spans="1:11" x14ac:dyDescent="0.25">
      <c r="A267" s="2">
        <v>45737.632721201997</v>
      </c>
      <c r="B267" s="3" t="s">
        <v>14</v>
      </c>
      <c r="C267" s="3" t="s">
        <v>12</v>
      </c>
      <c r="D267" s="3">
        <v>431</v>
      </c>
      <c r="E267" s="3">
        <v>299</v>
      </c>
      <c r="F267" s="3">
        <v>77</v>
      </c>
      <c r="G267" s="3">
        <v>28</v>
      </c>
      <c r="H267" s="3">
        <v>0.69373549883990715</v>
      </c>
      <c r="I267" s="3">
        <v>0.25752508361204007</v>
      </c>
      <c r="J267" s="3">
        <v>0.36363636363636359</v>
      </c>
      <c r="K267" s="3">
        <v>6.4965197215777259E-2</v>
      </c>
    </row>
    <row r="268" spans="1:11" x14ac:dyDescent="0.25">
      <c r="A268" s="2">
        <v>45737.933222036721</v>
      </c>
      <c r="B268" s="3" t="s">
        <v>14</v>
      </c>
      <c r="C268" s="3" t="s">
        <v>12</v>
      </c>
      <c r="D268" s="3">
        <v>437</v>
      </c>
      <c r="E268" s="3">
        <v>312</v>
      </c>
      <c r="F268" s="3">
        <v>77</v>
      </c>
      <c r="G268" s="3">
        <v>44</v>
      </c>
      <c r="H268" s="3">
        <v>0.71395881006864992</v>
      </c>
      <c r="I268" s="3">
        <v>0.24679487179487181</v>
      </c>
      <c r="J268" s="3">
        <v>0.5714285714285714</v>
      </c>
      <c r="K268" s="3">
        <v>0.10068649885583519</v>
      </c>
    </row>
    <row r="269" spans="1:11" x14ac:dyDescent="0.25">
      <c r="A269" s="2">
        <v>45738.233722871453</v>
      </c>
      <c r="B269" s="3" t="s">
        <v>14</v>
      </c>
      <c r="C269" s="3" t="s">
        <v>12</v>
      </c>
      <c r="D269" s="3">
        <v>596</v>
      </c>
      <c r="E269" s="3">
        <v>428</v>
      </c>
      <c r="F269" s="3">
        <v>178</v>
      </c>
      <c r="G269" s="3">
        <v>77</v>
      </c>
      <c r="H269" s="3">
        <v>0.71812080536912748</v>
      </c>
      <c r="I269" s="3">
        <v>0.41588785046728971</v>
      </c>
      <c r="J269" s="3">
        <v>0.43258426966292141</v>
      </c>
      <c r="K269" s="3">
        <v>0.1291946308724832</v>
      </c>
    </row>
    <row r="270" spans="1:11" x14ac:dyDescent="0.25">
      <c r="A270" s="2">
        <v>45738.53422370617</v>
      </c>
      <c r="B270" s="3" t="s">
        <v>11</v>
      </c>
      <c r="C270" s="3" t="s">
        <v>18</v>
      </c>
      <c r="D270" s="3">
        <v>574</v>
      </c>
      <c r="E270" s="3">
        <v>398</v>
      </c>
      <c r="F270" s="3">
        <v>102</v>
      </c>
      <c r="G270" s="3">
        <v>31</v>
      </c>
      <c r="H270" s="3">
        <v>0.69337979094076652</v>
      </c>
      <c r="I270" s="3">
        <v>0.25628140703517588</v>
      </c>
      <c r="J270" s="3">
        <v>0.30392156862745101</v>
      </c>
      <c r="K270" s="3">
        <v>5.4006968641114983E-2</v>
      </c>
    </row>
    <row r="271" spans="1:11" x14ac:dyDescent="0.25">
      <c r="A271" s="2">
        <v>45738.834724540888</v>
      </c>
      <c r="B271" s="3" t="s">
        <v>11</v>
      </c>
      <c r="C271" s="3" t="s">
        <v>19</v>
      </c>
      <c r="D271" s="3">
        <v>165</v>
      </c>
      <c r="E271" s="3">
        <v>110</v>
      </c>
      <c r="F271" s="3">
        <v>45</v>
      </c>
      <c r="G271" s="3">
        <v>15</v>
      </c>
      <c r="H271" s="3">
        <v>0.66666666666666663</v>
      </c>
      <c r="I271" s="3">
        <v>0.40909090909090912</v>
      </c>
      <c r="J271" s="3">
        <v>0.33333333333333331</v>
      </c>
      <c r="K271" s="3">
        <v>9.0909090909090912E-2</v>
      </c>
    </row>
    <row r="272" spans="1:11" x14ac:dyDescent="0.25">
      <c r="A272" s="2">
        <v>45739.135225375627</v>
      </c>
      <c r="B272" s="3" t="s">
        <v>17</v>
      </c>
      <c r="C272" s="3" t="s">
        <v>12</v>
      </c>
      <c r="D272" s="3">
        <v>254</v>
      </c>
      <c r="E272" s="3">
        <v>206</v>
      </c>
      <c r="F272" s="3">
        <v>44</v>
      </c>
      <c r="G272" s="3">
        <v>22</v>
      </c>
      <c r="H272" s="3">
        <v>0.8110236220472441</v>
      </c>
      <c r="I272" s="3">
        <v>0.2135922330097087</v>
      </c>
      <c r="J272" s="3">
        <v>0.5</v>
      </c>
      <c r="K272" s="3">
        <v>8.6614173228346455E-2</v>
      </c>
    </row>
    <row r="273" spans="1:11" x14ac:dyDescent="0.25">
      <c r="A273" s="2">
        <v>45739.435726210337</v>
      </c>
      <c r="B273" s="3" t="s">
        <v>17</v>
      </c>
      <c r="C273" s="3" t="s">
        <v>12</v>
      </c>
      <c r="D273" s="3">
        <v>272</v>
      </c>
      <c r="E273" s="3">
        <v>184</v>
      </c>
      <c r="F273" s="3">
        <v>72</v>
      </c>
      <c r="G273" s="3">
        <v>29</v>
      </c>
      <c r="H273" s="3">
        <v>0.67647058823529416</v>
      </c>
      <c r="I273" s="3">
        <v>0.39130434782608697</v>
      </c>
      <c r="J273" s="3">
        <v>0.40277777777777779</v>
      </c>
      <c r="K273" s="3">
        <v>0.1066176470588235</v>
      </c>
    </row>
    <row r="274" spans="1:11" x14ac:dyDescent="0.25">
      <c r="A274" s="2">
        <v>45739.736227045069</v>
      </c>
      <c r="B274" s="3" t="s">
        <v>17</v>
      </c>
      <c r="C274" s="3" t="s">
        <v>18</v>
      </c>
      <c r="D274" s="3">
        <v>390</v>
      </c>
      <c r="E274" s="3">
        <v>274</v>
      </c>
      <c r="F274" s="3">
        <v>83</v>
      </c>
      <c r="G274" s="3">
        <v>40</v>
      </c>
      <c r="H274" s="3">
        <v>0.70256410256410251</v>
      </c>
      <c r="I274" s="3">
        <v>0.3029197080291971</v>
      </c>
      <c r="J274" s="3">
        <v>0.48192771084337349</v>
      </c>
      <c r="K274" s="3">
        <v>0.1025641025641026</v>
      </c>
    </row>
    <row r="275" spans="1:11" x14ac:dyDescent="0.25">
      <c r="A275" s="2">
        <v>45740.036727879793</v>
      </c>
      <c r="B275" s="3" t="s">
        <v>17</v>
      </c>
      <c r="C275" s="3" t="s">
        <v>12</v>
      </c>
      <c r="D275" s="3">
        <v>198</v>
      </c>
      <c r="E275" s="3">
        <v>106</v>
      </c>
      <c r="F275" s="3">
        <v>27</v>
      </c>
      <c r="G275" s="3">
        <v>19</v>
      </c>
      <c r="H275" s="3">
        <v>0.53535353535353536</v>
      </c>
      <c r="I275" s="3">
        <v>0.25471698113207553</v>
      </c>
      <c r="J275" s="3">
        <v>0.70370370370370372</v>
      </c>
      <c r="K275" s="3">
        <v>9.5959595959595953E-2</v>
      </c>
    </row>
    <row r="276" spans="1:11" x14ac:dyDescent="0.25">
      <c r="A276" s="2">
        <v>45740.33722871451</v>
      </c>
      <c r="B276" s="3" t="s">
        <v>15</v>
      </c>
      <c r="C276" s="3" t="s">
        <v>12</v>
      </c>
      <c r="D276" s="3">
        <v>297</v>
      </c>
      <c r="E276" s="3">
        <v>229</v>
      </c>
      <c r="F276" s="3">
        <v>35</v>
      </c>
      <c r="G276" s="3">
        <v>20</v>
      </c>
      <c r="H276" s="3">
        <v>0.77104377104377109</v>
      </c>
      <c r="I276" s="3">
        <v>0.15283842794759819</v>
      </c>
      <c r="J276" s="3">
        <v>0.5714285714285714</v>
      </c>
      <c r="K276" s="3">
        <v>6.7340067340067339E-2</v>
      </c>
    </row>
    <row r="277" spans="1:11" x14ac:dyDescent="0.25">
      <c r="A277" s="2">
        <v>45740.637729549249</v>
      </c>
      <c r="B277" s="3" t="s">
        <v>15</v>
      </c>
      <c r="C277" s="3" t="s">
        <v>12</v>
      </c>
      <c r="D277" s="3">
        <v>506</v>
      </c>
      <c r="E277" s="3">
        <v>355</v>
      </c>
      <c r="F277" s="3">
        <v>52</v>
      </c>
      <c r="G277" s="3">
        <v>10</v>
      </c>
      <c r="H277" s="3">
        <v>0.70158102766798414</v>
      </c>
      <c r="I277" s="3">
        <v>0.14647887323943659</v>
      </c>
      <c r="J277" s="3">
        <v>0.19230769230769229</v>
      </c>
      <c r="K277" s="3">
        <v>1.9762845849802368E-2</v>
      </c>
    </row>
    <row r="278" spans="1:11" x14ac:dyDescent="0.25">
      <c r="A278" s="2">
        <v>45740.938230383967</v>
      </c>
      <c r="B278" s="3" t="s">
        <v>17</v>
      </c>
      <c r="C278" s="3" t="s">
        <v>18</v>
      </c>
      <c r="D278" s="3">
        <v>493</v>
      </c>
      <c r="E278" s="3">
        <v>270</v>
      </c>
      <c r="F278" s="3">
        <v>100</v>
      </c>
      <c r="G278" s="3">
        <v>38</v>
      </c>
      <c r="H278" s="3">
        <v>0.54766734279918861</v>
      </c>
      <c r="I278" s="3">
        <v>0.37037037037037029</v>
      </c>
      <c r="J278" s="3">
        <v>0.38</v>
      </c>
      <c r="K278" s="3">
        <v>7.7079107505070993E-2</v>
      </c>
    </row>
    <row r="279" spans="1:11" x14ac:dyDescent="0.25">
      <c r="A279" s="2">
        <v>45741.238731218691</v>
      </c>
      <c r="B279" s="3" t="s">
        <v>14</v>
      </c>
      <c r="C279" s="3" t="s">
        <v>18</v>
      </c>
      <c r="D279" s="3">
        <v>193</v>
      </c>
      <c r="E279" s="3">
        <v>144</v>
      </c>
      <c r="F279" s="3">
        <v>50</v>
      </c>
      <c r="G279" s="3">
        <v>22</v>
      </c>
      <c r="H279" s="3">
        <v>0.74611398963730569</v>
      </c>
      <c r="I279" s="3">
        <v>0.34722222222222221</v>
      </c>
      <c r="J279" s="3">
        <v>0.44</v>
      </c>
      <c r="K279" s="3">
        <v>0.1139896373056995</v>
      </c>
    </row>
    <row r="280" spans="1:11" x14ac:dyDescent="0.25">
      <c r="A280" s="2">
        <v>45741.539232053423</v>
      </c>
      <c r="B280" s="3" t="s">
        <v>14</v>
      </c>
      <c r="C280" s="3" t="s">
        <v>12</v>
      </c>
      <c r="D280" s="3">
        <v>224</v>
      </c>
      <c r="E280" s="3">
        <v>177</v>
      </c>
      <c r="F280" s="3">
        <v>66</v>
      </c>
      <c r="G280" s="3">
        <v>34</v>
      </c>
      <c r="H280" s="3">
        <v>0.7901785714285714</v>
      </c>
      <c r="I280" s="3">
        <v>0.3728813559322034</v>
      </c>
      <c r="J280" s="3">
        <v>0.51515151515151514</v>
      </c>
      <c r="K280" s="3">
        <v>0.1517857142857143</v>
      </c>
    </row>
    <row r="281" spans="1:11" x14ac:dyDescent="0.25">
      <c r="A281" s="2">
        <v>45741.83973288814</v>
      </c>
      <c r="B281" s="3" t="s">
        <v>17</v>
      </c>
      <c r="C281" s="3" t="s">
        <v>12</v>
      </c>
      <c r="D281" s="3">
        <v>617</v>
      </c>
      <c r="E281" s="3">
        <v>413</v>
      </c>
      <c r="F281" s="3">
        <v>120</v>
      </c>
      <c r="G281" s="3">
        <v>55</v>
      </c>
      <c r="H281" s="3">
        <v>0.66936790923824963</v>
      </c>
      <c r="I281" s="3">
        <v>0.29055690072639218</v>
      </c>
      <c r="J281" s="3">
        <v>0.45833333333333331</v>
      </c>
      <c r="K281" s="3">
        <v>8.9141004862236625E-2</v>
      </c>
    </row>
    <row r="282" spans="1:11" x14ac:dyDescent="0.25">
      <c r="A282" s="2">
        <v>45742.140233722872</v>
      </c>
      <c r="B282" s="3" t="s">
        <v>17</v>
      </c>
      <c r="C282" s="3" t="s">
        <v>12</v>
      </c>
      <c r="D282" s="3">
        <v>382</v>
      </c>
      <c r="E282" s="3">
        <v>299</v>
      </c>
      <c r="F282" s="3">
        <v>86</v>
      </c>
      <c r="G282" s="3">
        <v>46</v>
      </c>
      <c r="H282" s="3">
        <v>0.7827225130890052</v>
      </c>
      <c r="I282" s="3">
        <v>0.28762541806020059</v>
      </c>
      <c r="J282" s="3">
        <v>0.53488372093023251</v>
      </c>
      <c r="K282" s="3">
        <v>0.1204188481675393</v>
      </c>
    </row>
    <row r="283" spans="1:11" x14ac:dyDescent="0.25">
      <c r="A283" s="2">
        <v>45742.440734557589</v>
      </c>
      <c r="B283" s="3" t="s">
        <v>11</v>
      </c>
      <c r="C283" s="3" t="s">
        <v>18</v>
      </c>
      <c r="D283" s="3">
        <v>424</v>
      </c>
      <c r="E283" s="3">
        <v>353</v>
      </c>
      <c r="F283" s="3">
        <v>101</v>
      </c>
      <c r="G283" s="3">
        <v>29</v>
      </c>
      <c r="H283" s="3">
        <v>0.83254716981132071</v>
      </c>
      <c r="I283" s="3">
        <v>0.28611898016997173</v>
      </c>
      <c r="J283" s="3">
        <v>0.28712871287128711</v>
      </c>
      <c r="K283" s="3">
        <v>6.8396226415094338E-2</v>
      </c>
    </row>
    <row r="284" spans="1:11" x14ac:dyDescent="0.25">
      <c r="A284" s="2">
        <v>45742.741235392306</v>
      </c>
      <c r="B284" s="3" t="s">
        <v>11</v>
      </c>
      <c r="C284" s="3" t="s">
        <v>12</v>
      </c>
      <c r="D284" s="3">
        <v>80</v>
      </c>
      <c r="E284" s="3">
        <v>62</v>
      </c>
      <c r="F284" s="3">
        <v>26</v>
      </c>
      <c r="G284" s="3">
        <v>8</v>
      </c>
      <c r="H284" s="3">
        <v>0.77500000000000002</v>
      </c>
      <c r="I284" s="3">
        <v>0.41935483870967738</v>
      </c>
      <c r="J284" s="3">
        <v>0.30769230769230771</v>
      </c>
      <c r="K284" s="3">
        <v>0.1</v>
      </c>
    </row>
    <row r="285" spans="1:11" x14ac:dyDescent="0.25">
      <c r="A285" s="2">
        <v>45743.041736227038</v>
      </c>
      <c r="B285" s="3" t="s">
        <v>16</v>
      </c>
      <c r="C285" s="3" t="s">
        <v>12</v>
      </c>
      <c r="D285" s="3">
        <v>226</v>
      </c>
      <c r="E285" s="3">
        <v>171</v>
      </c>
      <c r="F285" s="3">
        <v>24</v>
      </c>
      <c r="G285" s="3">
        <v>17</v>
      </c>
      <c r="H285" s="3">
        <v>0.75663716814159288</v>
      </c>
      <c r="I285" s="3">
        <v>0.14035087719298239</v>
      </c>
      <c r="J285" s="3">
        <v>0.70833333333333337</v>
      </c>
      <c r="K285" s="3">
        <v>7.5221238938053103E-2</v>
      </c>
    </row>
    <row r="286" spans="1:11" x14ac:dyDescent="0.25">
      <c r="A286" s="2">
        <v>45743.342237061763</v>
      </c>
      <c r="B286" s="3" t="s">
        <v>15</v>
      </c>
      <c r="C286" s="3" t="s">
        <v>18</v>
      </c>
      <c r="D286" s="3">
        <v>366</v>
      </c>
      <c r="E286" s="3">
        <v>302</v>
      </c>
      <c r="F286" s="3">
        <v>105</v>
      </c>
      <c r="G286" s="3">
        <v>33</v>
      </c>
      <c r="H286" s="3">
        <v>0.82513661202185795</v>
      </c>
      <c r="I286" s="3">
        <v>0.34768211920529801</v>
      </c>
      <c r="J286" s="3">
        <v>0.31428571428571428</v>
      </c>
      <c r="K286" s="3">
        <v>9.0163934426229511E-2</v>
      </c>
    </row>
    <row r="287" spans="1:11" x14ac:dyDescent="0.25">
      <c r="A287" s="2">
        <v>45743.642737896487</v>
      </c>
      <c r="B287" s="3" t="s">
        <v>16</v>
      </c>
      <c r="C287" s="3" t="s">
        <v>12</v>
      </c>
      <c r="D287" s="3">
        <v>132</v>
      </c>
      <c r="E287" s="3">
        <v>73</v>
      </c>
      <c r="F287" s="3">
        <v>28</v>
      </c>
      <c r="G287" s="3">
        <v>13</v>
      </c>
      <c r="H287" s="3">
        <v>0.55303030303030298</v>
      </c>
      <c r="I287" s="3">
        <v>0.38356164383561642</v>
      </c>
      <c r="J287" s="3">
        <v>0.4642857142857143</v>
      </c>
      <c r="K287" s="3">
        <v>9.8484848484848481E-2</v>
      </c>
    </row>
    <row r="288" spans="1:11" x14ac:dyDescent="0.25">
      <c r="A288" s="2">
        <v>45743.943238731212</v>
      </c>
      <c r="B288" s="3" t="s">
        <v>15</v>
      </c>
      <c r="C288" s="3" t="s">
        <v>18</v>
      </c>
      <c r="D288" s="3">
        <v>383</v>
      </c>
      <c r="E288" s="3">
        <v>231</v>
      </c>
      <c r="F288" s="3">
        <v>81</v>
      </c>
      <c r="G288" s="3">
        <v>45</v>
      </c>
      <c r="H288" s="3">
        <v>0.60313315926892952</v>
      </c>
      <c r="I288" s="3">
        <v>0.35064935064935071</v>
      </c>
      <c r="J288" s="3">
        <v>0.55555555555555558</v>
      </c>
      <c r="K288" s="3">
        <v>0.1174934725848564</v>
      </c>
    </row>
    <row r="289" spans="1:11" x14ac:dyDescent="0.25">
      <c r="A289" s="2">
        <v>45744.243739565944</v>
      </c>
      <c r="B289" s="3" t="s">
        <v>15</v>
      </c>
      <c r="C289" s="3" t="s">
        <v>12</v>
      </c>
      <c r="D289" s="3">
        <v>148</v>
      </c>
      <c r="E289" s="3">
        <v>107</v>
      </c>
      <c r="F289" s="3">
        <v>29</v>
      </c>
      <c r="G289" s="3">
        <v>11</v>
      </c>
      <c r="H289" s="3">
        <v>0.72297297297297303</v>
      </c>
      <c r="I289" s="3">
        <v>0.27102803738317749</v>
      </c>
      <c r="J289" s="3">
        <v>0.37931034482758619</v>
      </c>
      <c r="K289" s="3">
        <v>7.4324324324324328E-2</v>
      </c>
    </row>
    <row r="290" spans="1:11" x14ac:dyDescent="0.25">
      <c r="A290" s="2">
        <v>45744.544240400661</v>
      </c>
      <c r="B290" s="3" t="s">
        <v>11</v>
      </c>
      <c r="C290" s="3" t="s">
        <v>12</v>
      </c>
      <c r="D290" s="3">
        <v>440</v>
      </c>
      <c r="E290" s="3">
        <v>324</v>
      </c>
      <c r="F290" s="3">
        <v>130</v>
      </c>
      <c r="G290" s="3">
        <v>36</v>
      </c>
      <c r="H290" s="3">
        <v>0.73636363636363633</v>
      </c>
      <c r="I290" s="3">
        <v>0.40123456790123457</v>
      </c>
      <c r="J290" s="3">
        <v>0.27692307692307688</v>
      </c>
      <c r="K290" s="3">
        <v>8.1818181818181818E-2</v>
      </c>
    </row>
    <row r="291" spans="1:11" x14ac:dyDescent="0.25">
      <c r="A291" s="2">
        <v>45744.844741235393</v>
      </c>
      <c r="B291" s="3" t="s">
        <v>15</v>
      </c>
      <c r="C291" s="3" t="s">
        <v>12</v>
      </c>
      <c r="D291" s="3">
        <v>299</v>
      </c>
      <c r="E291" s="3">
        <v>237</v>
      </c>
      <c r="F291" s="3">
        <v>93</v>
      </c>
      <c r="G291" s="3">
        <v>56</v>
      </c>
      <c r="H291" s="3">
        <v>0.79264214046822745</v>
      </c>
      <c r="I291" s="3">
        <v>0.39240506329113922</v>
      </c>
      <c r="J291" s="3">
        <v>0.60215053763440862</v>
      </c>
      <c r="K291" s="3">
        <v>0.18729096989966551</v>
      </c>
    </row>
    <row r="292" spans="1:11" x14ac:dyDescent="0.25">
      <c r="A292" s="2">
        <v>45745.145242070117</v>
      </c>
      <c r="B292" s="3" t="s">
        <v>16</v>
      </c>
      <c r="C292" s="3" t="s">
        <v>18</v>
      </c>
      <c r="D292" s="3">
        <v>240</v>
      </c>
      <c r="E292" s="3">
        <v>174</v>
      </c>
      <c r="F292" s="3">
        <v>69</v>
      </c>
      <c r="G292" s="3">
        <v>40</v>
      </c>
      <c r="H292" s="3">
        <v>0.72499999999999998</v>
      </c>
      <c r="I292" s="3">
        <v>0.39655172413793099</v>
      </c>
      <c r="J292" s="3">
        <v>0.57971014492753625</v>
      </c>
      <c r="K292" s="3">
        <v>0.16666666666666671</v>
      </c>
    </row>
    <row r="293" spans="1:11" x14ac:dyDescent="0.25">
      <c r="A293" s="2">
        <v>45745.445742904827</v>
      </c>
      <c r="B293" s="3" t="s">
        <v>16</v>
      </c>
      <c r="C293" s="3" t="s">
        <v>18</v>
      </c>
      <c r="D293" s="3">
        <v>168</v>
      </c>
      <c r="E293" s="3">
        <v>106</v>
      </c>
      <c r="F293" s="3">
        <v>35</v>
      </c>
      <c r="G293" s="3">
        <v>17</v>
      </c>
      <c r="H293" s="3">
        <v>0.63095238095238093</v>
      </c>
      <c r="I293" s="3">
        <v>0.330188679245283</v>
      </c>
      <c r="J293" s="3">
        <v>0.48571428571428571</v>
      </c>
      <c r="K293" s="3">
        <v>0.10119047619047621</v>
      </c>
    </row>
    <row r="294" spans="1:11" x14ac:dyDescent="0.25">
      <c r="A294" s="2">
        <v>45745.746243739559</v>
      </c>
      <c r="B294" s="3" t="s">
        <v>17</v>
      </c>
      <c r="C294" s="3" t="s">
        <v>18</v>
      </c>
      <c r="D294" s="3">
        <v>238</v>
      </c>
      <c r="E294" s="3">
        <v>156</v>
      </c>
      <c r="F294" s="3">
        <v>44</v>
      </c>
      <c r="G294" s="3">
        <v>24</v>
      </c>
      <c r="H294" s="3">
        <v>0.65546218487394958</v>
      </c>
      <c r="I294" s="3">
        <v>0.28205128205128199</v>
      </c>
      <c r="J294" s="3">
        <v>0.54545454545454541</v>
      </c>
      <c r="K294" s="3">
        <v>0.1008403361344538</v>
      </c>
    </row>
    <row r="295" spans="1:11" x14ac:dyDescent="0.25">
      <c r="A295" s="2">
        <v>45746.046744574283</v>
      </c>
      <c r="B295" s="3" t="s">
        <v>11</v>
      </c>
      <c r="C295" s="3" t="s">
        <v>12</v>
      </c>
      <c r="D295" s="3">
        <v>568</v>
      </c>
      <c r="E295" s="3">
        <v>431</v>
      </c>
      <c r="F295" s="3">
        <v>84</v>
      </c>
      <c r="G295" s="3">
        <v>41</v>
      </c>
      <c r="H295" s="3">
        <v>0.75880281690140849</v>
      </c>
      <c r="I295" s="3">
        <v>0.19489559164733181</v>
      </c>
      <c r="J295" s="3">
        <v>0.48809523809523808</v>
      </c>
      <c r="K295" s="3">
        <v>7.2183098591549297E-2</v>
      </c>
    </row>
    <row r="296" spans="1:11" x14ac:dyDescent="0.25">
      <c r="A296" s="2">
        <v>45746.347245409008</v>
      </c>
      <c r="B296" s="3" t="s">
        <v>16</v>
      </c>
      <c r="C296" s="3" t="s">
        <v>18</v>
      </c>
      <c r="D296" s="3">
        <v>403</v>
      </c>
      <c r="E296" s="3">
        <v>300</v>
      </c>
      <c r="F296" s="3">
        <v>91</v>
      </c>
      <c r="G296" s="3">
        <v>36</v>
      </c>
      <c r="H296" s="3">
        <v>0.74441687344913154</v>
      </c>
      <c r="I296" s="3">
        <v>0.30333333333333329</v>
      </c>
      <c r="J296" s="3">
        <v>0.39560439560439559</v>
      </c>
      <c r="K296" s="3">
        <v>8.9330024813895778E-2</v>
      </c>
    </row>
    <row r="297" spans="1:11" x14ac:dyDescent="0.25">
      <c r="A297" s="2">
        <v>45746.64774624374</v>
      </c>
      <c r="B297" s="3" t="s">
        <v>15</v>
      </c>
      <c r="C297" s="3" t="s">
        <v>12</v>
      </c>
      <c r="D297" s="3">
        <v>460</v>
      </c>
      <c r="E297" s="3">
        <v>282</v>
      </c>
      <c r="F297" s="3">
        <v>77</v>
      </c>
      <c r="G297" s="3">
        <v>34</v>
      </c>
      <c r="H297" s="3">
        <v>0.61304347826086958</v>
      </c>
      <c r="I297" s="3">
        <v>0.27304964539007093</v>
      </c>
      <c r="J297" s="3">
        <v>0.44155844155844148</v>
      </c>
      <c r="K297" s="3">
        <v>7.3913043478260873E-2</v>
      </c>
    </row>
    <row r="298" spans="1:11" x14ac:dyDescent="0.25">
      <c r="A298" s="2">
        <v>45746.948247078457</v>
      </c>
      <c r="B298" s="3" t="s">
        <v>17</v>
      </c>
      <c r="C298" s="3" t="s">
        <v>12</v>
      </c>
      <c r="D298" s="3">
        <v>181</v>
      </c>
      <c r="E298" s="3">
        <v>146</v>
      </c>
      <c r="F298" s="3">
        <v>24</v>
      </c>
      <c r="G298" s="3">
        <v>9</v>
      </c>
      <c r="H298" s="3">
        <v>0.8066298342541437</v>
      </c>
      <c r="I298" s="3">
        <v>0.16438356164383561</v>
      </c>
      <c r="J298" s="3">
        <v>0.375</v>
      </c>
      <c r="K298" s="3">
        <v>4.9723756906077353E-2</v>
      </c>
    </row>
    <row r="299" spans="1:11" x14ac:dyDescent="0.25">
      <c r="A299" s="2">
        <v>45747.248747913181</v>
      </c>
      <c r="B299" s="3" t="s">
        <v>16</v>
      </c>
      <c r="C299" s="3" t="s">
        <v>18</v>
      </c>
      <c r="D299" s="3">
        <v>573</v>
      </c>
      <c r="E299" s="3">
        <v>446</v>
      </c>
      <c r="F299" s="3">
        <v>100</v>
      </c>
      <c r="G299" s="3">
        <v>56</v>
      </c>
      <c r="H299" s="3">
        <v>0.77835951134380454</v>
      </c>
      <c r="I299" s="3">
        <v>0.22421524663677131</v>
      </c>
      <c r="J299" s="3">
        <v>0.56000000000000005</v>
      </c>
      <c r="K299" s="3">
        <v>9.7731239092495634E-2</v>
      </c>
    </row>
    <row r="300" spans="1:11" x14ac:dyDescent="0.25">
      <c r="A300" s="2">
        <v>45747.549248747913</v>
      </c>
      <c r="B300" s="3" t="s">
        <v>15</v>
      </c>
      <c r="C300" s="3" t="s">
        <v>12</v>
      </c>
      <c r="D300" s="3">
        <v>98</v>
      </c>
      <c r="E300" s="3">
        <v>65</v>
      </c>
      <c r="F300" s="3">
        <v>17</v>
      </c>
      <c r="G300" s="3">
        <v>6</v>
      </c>
      <c r="H300" s="3">
        <v>0.66326530612244894</v>
      </c>
      <c r="I300" s="3">
        <v>0.26153846153846161</v>
      </c>
      <c r="J300" s="3">
        <v>0.35294117647058831</v>
      </c>
      <c r="K300" s="3">
        <v>6.1224489795918373E-2</v>
      </c>
    </row>
    <row r="301" spans="1:11" x14ac:dyDescent="0.25">
      <c r="A301" s="2">
        <v>45747.84974958263</v>
      </c>
      <c r="B301" s="3" t="s">
        <v>16</v>
      </c>
      <c r="C301" s="3" t="s">
        <v>12</v>
      </c>
      <c r="D301" s="3">
        <v>533</v>
      </c>
      <c r="E301" s="3">
        <v>306</v>
      </c>
      <c r="F301" s="3">
        <v>107</v>
      </c>
      <c r="G301" s="3">
        <v>48</v>
      </c>
      <c r="H301" s="3">
        <v>0.57410881801125702</v>
      </c>
      <c r="I301" s="3">
        <v>0.34967320261437912</v>
      </c>
      <c r="J301" s="3">
        <v>0.44859813084112149</v>
      </c>
      <c r="K301" s="3">
        <v>9.0056285178236398E-2</v>
      </c>
    </row>
    <row r="302" spans="1:11" x14ac:dyDescent="0.25">
      <c r="A302" s="2">
        <v>45748.150250417362</v>
      </c>
      <c r="B302" s="3" t="s">
        <v>16</v>
      </c>
      <c r="C302" s="3" t="s">
        <v>12</v>
      </c>
      <c r="D302" s="3">
        <v>561</v>
      </c>
      <c r="E302" s="3">
        <v>347</v>
      </c>
      <c r="F302" s="3">
        <v>56</v>
      </c>
      <c r="G302" s="3">
        <v>24</v>
      </c>
      <c r="H302" s="3">
        <v>0.61853832442067735</v>
      </c>
      <c r="I302" s="3">
        <v>0.16138328530259369</v>
      </c>
      <c r="J302" s="3">
        <v>0.42857142857142849</v>
      </c>
      <c r="K302" s="3">
        <v>4.2780748663101602E-2</v>
      </c>
    </row>
    <row r="303" spans="1:11" x14ac:dyDescent="0.25">
      <c r="A303" s="2">
        <v>45748.450751252087</v>
      </c>
      <c r="B303" s="3" t="s">
        <v>15</v>
      </c>
      <c r="C303" s="3" t="s">
        <v>12</v>
      </c>
      <c r="D303" s="3">
        <v>476</v>
      </c>
      <c r="E303" s="3">
        <v>298</v>
      </c>
      <c r="F303" s="3">
        <v>46</v>
      </c>
      <c r="G303" s="3">
        <v>27</v>
      </c>
      <c r="H303" s="3">
        <v>0.62605042016806722</v>
      </c>
      <c r="I303" s="3">
        <v>0.15436241610738249</v>
      </c>
      <c r="J303" s="3">
        <v>0.58695652173913049</v>
      </c>
      <c r="K303" s="3">
        <v>5.6722689075630252E-2</v>
      </c>
    </row>
    <row r="304" spans="1:11" x14ac:dyDescent="0.25">
      <c r="A304" s="2">
        <v>45748.751252086797</v>
      </c>
      <c r="B304" s="3" t="s">
        <v>15</v>
      </c>
      <c r="C304" s="3" t="s">
        <v>12</v>
      </c>
      <c r="D304" s="3">
        <v>358</v>
      </c>
      <c r="E304" s="3">
        <v>288</v>
      </c>
      <c r="F304" s="3">
        <v>89</v>
      </c>
      <c r="G304" s="3">
        <v>35</v>
      </c>
      <c r="H304" s="3">
        <v>0.8044692737430168</v>
      </c>
      <c r="I304" s="3">
        <v>0.30902777777777779</v>
      </c>
      <c r="J304" s="3">
        <v>0.39325842696629221</v>
      </c>
      <c r="K304" s="3">
        <v>9.7765363128491614E-2</v>
      </c>
    </row>
    <row r="305" spans="1:11" x14ac:dyDescent="0.25">
      <c r="A305" s="2">
        <v>45749.051752921529</v>
      </c>
      <c r="B305" s="3" t="s">
        <v>15</v>
      </c>
      <c r="C305" s="3" t="s">
        <v>18</v>
      </c>
      <c r="D305" s="3">
        <v>444</v>
      </c>
      <c r="E305" s="3">
        <v>365</v>
      </c>
      <c r="F305" s="3">
        <v>101</v>
      </c>
      <c r="G305" s="3">
        <v>49</v>
      </c>
      <c r="H305" s="3">
        <v>0.82207207207207211</v>
      </c>
      <c r="I305" s="3">
        <v>0.27671232876712332</v>
      </c>
      <c r="J305" s="3">
        <v>0.48514851485148508</v>
      </c>
      <c r="K305" s="3">
        <v>0.1103603603603604</v>
      </c>
    </row>
    <row r="306" spans="1:11" x14ac:dyDescent="0.25">
      <c r="A306" s="2">
        <v>45749.352253756253</v>
      </c>
      <c r="B306" s="3" t="s">
        <v>14</v>
      </c>
      <c r="C306" s="3" t="s">
        <v>12</v>
      </c>
      <c r="D306" s="3">
        <v>410</v>
      </c>
      <c r="E306" s="3">
        <v>312</v>
      </c>
      <c r="F306" s="3">
        <v>61</v>
      </c>
      <c r="G306" s="3">
        <v>32</v>
      </c>
      <c r="H306" s="3">
        <v>0.76097560975609757</v>
      </c>
      <c r="I306" s="3">
        <v>0.19551282051282051</v>
      </c>
      <c r="J306" s="3">
        <v>0.52459016393442626</v>
      </c>
      <c r="K306" s="3">
        <v>7.8048780487804878E-2</v>
      </c>
    </row>
    <row r="307" spans="1:11" x14ac:dyDescent="0.25">
      <c r="A307" s="2">
        <v>45749.652754590978</v>
      </c>
      <c r="B307" s="3" t="s">
        <v>13</v>
      </c>
      <c r="C307" s="3" t="s">
        <v>18</v>
      </c>
      <c r="D307" s="3">
        <v>423</v>
      </c>
      <c r="E307" s="3">
        <v>260</v>
      </c>
      <c r="F307" s="3">
        <v>90</v>
      </c>
      <c r="G307" s="3">
        <v>31</v>
      </c>
      <c r="H307" s="3">
        <v>0.61465721040189125</v>
      </c>
      <c r="I307" s="3">
        <v>0.34615384615384609</v>
      </c>
      <c r="J307" s="3">
        <v>0.34444444444444439</v>
      </c>
      <c r="K307" s="3">
        <v>7.328605200945626E-2</v>
      </c>
    </row>
    <row r="308" spans="1:11" x14ac:dyDescent="0.25">
      <c r="A308" s="2">
        <v>45749.953255425709</v>
      </c>
      <c r="B308" s="3" t="s">
        <v>15</v>
      </c>
      <c r="C308" s="3" t="s">
        <v>18</v>
      </c>
      <c r="D308" s="3">
        <v>534</v>
      </c>
      <c r="E308" s="3">
        <v>359</v>
      </c>
      <c r="F308" s="3">
        <v>114</v>
      </c>
      <c r="G308" s="3">
        <v>49</v>
      </c>
      <c r="H308" s="3">
        <v>0.67228464419475653</v>
      </c>
      <c r="I308" s="3">
        <v>0.31754874651810577</v>
      </c>
      <c r="J308" s="3">
        <v>0.42982456140350878</v>
      </c>
      <c r="K308" s="3">
        <v>9.1760299625468167E-2</v>
      </c>
    </row>
    <row r="309" spans="1:11" x14ac:dyDescent="0.25">
      <c r="A309" s="2">
        <v>45750.253756260427</v>
      </c>
      <c r="B309" s="3" t="s">
        <v>11</v>
      </c>
      <c r="C309" s="3" t="s">
        <v>12</v>
      </c>
      <c r="D309" s="3">
        <v>144</v>
      </c>
      <c r="E309" s="3">
        <v>96</v>
      </c>
      <c r="F309" s="3">
        <v>27</v>
      </c>
      <c r="G309" s="3">
        <v>9</v>
      </c>
      <c r="H309" s="3">
        <v>0.66666666666666663</v>
      </c>
      <c r="I309" s="3">
        <v>0.28125</v>
      </c>
      <c r="J309" s="3">
        <v>0.33333333333333331</v>
      </c>
      <c r="K309" s="3">
        <v>6.25E-2</v>
      </c>
    </row>
    <row r="310" spans="1:11" x14ac:dyDescent="0.25">
      <c r="A310" s="2">
        <v>45750.554257095151</v>
      </c>
      <c r="B310" s="3" t="s">
        <v>17</v>
      </c>
      <c r="C310" s="3" t="s">
        <v>12</v>
      </c>
      <c r="D310" s="3">
        <v>155</v>
      </c>
      <c r="E310" s="3">
        <v>91</v>
      </c>
      <c r="F310" s="3">
        <v>26</v>
      </c>
      <c r="G310" s="3">
        <v>15</v>
      </c>
      <c r="H310" s="3">
        <v>0.58709677419354833</v>
      </c>
      <c r="I310" s="3">
        <v>0.2857142857142857</v>
      </c>
      <c r="J310" s="3">
        <v>0.57692307692307687</v>
      </c>
      <c r="K310" s="3">
        <v>9.6774193548387094E-2</v>
      </c>
    </row>
    <row r="311" spans="1:11" x14ac:dyDescent="0.25">
      <c r="A311" s="2">
        <v>45750.854757929883</v>
      </c>
      <c r="B311" s="3" t="s">
        <v>16</v>
      </c>
      <c r="C311" s="3" t="s">
        <v>12</v>
      </c>
      <c r="D311" s="3">
        <v>222</v>
      </c>
      <c r="E311" s="3">
        <v>168</v>
      </c>
      <c r="F311" s="3">
        <v>58</v>
      </c>
      <c r="G311" s="3">
        <v>21</v>
      </c>
      <c r="H311" s="3">
        <v>0.7567567567567568</v>
      </c>
      <c r="I311" s="3">
        <v>0.34523809523809518</v>
      </c>
      <c r="J311" s="3">
        <v>0.36206896551724138</v>
      </c>
      <c r="K311" s="3">
        <v>9.45945945945946E-2</v>
      </c>
    </row>
    <row r="312" spans="1:11" x14ac:dyDescent="0.25">
      <c r="A312" s="2">
        <v>45751.155258764607</v>
      </c>
      <c r="B312" s="3" t="s">
        <v>11</v>
      </c>
      <c r="C312" s="3" t="s">
        <v>18</v>
      </c>
      <c r="D312" s="3">
        <v>552</v>
      </c>
      <c r="E312" s="3">
        <v>415</v>
      </c>
      <c r="F312" s="3">
        <v>117</v>
      </c>
      <c r="G312" s="3">
        <v>51</v>
      </c>
      <c r="H312" s="3">
        <v>0.75181159420289856</v>
      </c>
      <c r="I312" s="3">
        <v>0.28192771084337348</v>
      </c>
      <c r="J312" s="3">
        <v>0.4358974358974359</v>
      </c>
      <c r="K312" s="3">
        <v>9.2391304347826081E-2</v>
      </c>
    </row>
    <row r="313" spans="1:11" x14ac:dyDescent="0.25">
      <c r="A313" s="2">
        <v>45751.455759599332</v>
      </c>
      <c r="B313" s="3" t="s">
        <v>16</v>
      </c>
      <c r="C313" s="3" t="s">
        <v>12</v>
      </c>
      <c r="D313" s="3">
        <v>496</v>
      </c>
      <c r="E313" s="3">
        <v>291</v>
      </c>
      <c r="F313" s="3">
        <v>83</v>
      </c>
      <c r="G313" s="3">
        <v>43</v>
      </c>
      <c r="H313" s="3">
        <v>0.58669354838709675</v>
      </c>
      <c r="I313" s="3">
        <v>0.28522336769759449</v>
      </c>
      <c r="J313" s="3">
        <v>0.51807228915662651</v>
      </c>
      <c r="K313" s="3">
        <v>8.669354838709678E-2</v>
      </c>
    </row>
    <row r="314" spans="1:11" x14ac:dyDescent="0.25">
      <c r="A314" s="2">
        <v>45751.756260434049</v>
      </c>
      <c r="B314" s="3" t="s">
        <v>16</v>
      </c>
      <c r="C314" s="3" t="s">
        <v>18</v>
      </c>
      <c r="D314" s="3">
        <v>384</v>
      </c>
      <c r="E314" s="3">
        <v>266</v>
      </c>
      <c r="F314" s="3">
        <v>70</v>
      </c>
      <c r="G314" s="3">
        <v>22</v>
      </c>
      <c r="H314" s="3">
        <v>0.69270833333333337</v>
      </c>
      <c r="I314" s="3">
        <v>0.26315789473684209</v>
      </c>
      <c r="J314" s="3">
        <v>0.31428571428571428</v>
      </c>
      <c r="K314" s="3">
        <v>5.7291666666666657E-2</v>
      </c>
    </row>
    <row r="315" spans="1:11" x14ac:dyDescent="0.25">
      <c r="A315" s="2">
        <v>45752.056761268766</v>
      </c>
      <c r="B315" s="3" t="s">
        <v>13</v>
      </c>
      <c r="C315" s="3" t="s">
        <v>12</v>
      </c>
      <c r="D315" s="3">
        <v>576</v>
      </c>
      <c r="E315" s="3">
        <v>431</v>
      </c>
      <c r="F315" s="3">
        <v>80</v>
      </c>
      <c r="G315" s="3">
        <v>53</v>
      </c>
      <c r="H315" s="3">
        <v>0.74826388888888884</v>
      </c>
      <c r="I315" s="3">
        <v>0.185614849187935</v>
      </c>
      <c r="J315" s="3">
        <v>0.66249999999999998</v>
      </c>
      <c r="K315" s="3">
        <v>9.2013888888888895E-2</v>
      </c>
    </row>
    <row r="316" spans="1:11" x14ac:dyDescent="0.25">
      <c r="A316" s="2">
        <v>45752.357262103498</v>
      </c>
      <c r="B316" s="3" t="s">
        <v>17</v>
      </c>
      <c r="C316" s="3" t="s">
        <v>12</v>
      </c>
      <c r="D316" s="3">
        <v>370</v>
      </c>
      <c r="E316" s="3">
        <v>289</v>
      </c>
      <c r="F316" s="3">
        <v>62</v>
      </c>
      <c r="G316" s="3">
        <v>23</v>
      </c>
      <c r="H316" s="3">
        <v>0.7810810810810811</v>
      </c>
      <c r="I316" s="3">
        <v>0.21453287197231841</v>
      </c>
      <c r="J316" s="3">
        <v>0.37096774193548387</v>
      </c>
      <c r="K316" s="3">
        <v>6.2162162162162173E-2</v>
      </c>
    </row>
    <row r="317" spans="1:11" x14ac:dyDescent="0.25">
      <c r="A317" s="2">
        <v>45752.65776293823</v>
      </c>
      <c r="B317" s="3" t="s">
        <v>14</v>
      </c>
      <c r="C317" s="3" t="s">
        <v>12</v>
      </c>
      <c r="D317" s="3">
        <v>181</v>
      </c>
      <c r="E317" s="3">
        <v>135</v>
      </c>
      <c r="F317" s="3">
        <v>44</v>
      </c>
      <c r="G317" s="3">
        <v>21</v>
      </c>
      <c r="H317" s="3">
        <v>0.7458563535911602</v>
      </c>
      <c r="I317" s="3">
        <v>0.32592592592592601</v>
      </c>
      <c r="J317" s="3">
        <v>0.47727272727272729</v>
      </c>
      <c r="K317" s="3">
        <v>0.11602209944751379</v>
      </c>
    </row>
    <row r="318" spans="1:11" x14ac:dyDescent="0.25">
      <c r="A318" s="2">
        <v>45752.958263772947</v>
      </c>
      <c r="B318" s="3" t="s">
        <v>11</v>
      </c>
      <c r="C318" s="3" t="s">
        <v>12</v>
      </c>
      <c r="D318" s="3">
        <v>346</v>
      </c>
      <c r="E318" s="3">
        <v>223</v>
      </c>
      <c r="F318" s="3">
        <v>78</v>
      </c>
      <c r="G318" s="3">
        <v>36</v>
      </c>
      <c r="H318" s="3">
        <v>0.6445086705202312</v>
      </c>
      <c r="I318" s="3">
        <v>0.34977578475336318</v>
      </c>
      <c r="J318" s="3">
        <v>0.46153846153846162</v>
      </c>
      <c r="K318" s="3">
        <v>0.10404624277456651</v>
      </c>
    </row>
    <row r="319" spans="1:11" x14ac:dyDescent="0.25">
      <c r="A319" s="2">
        <v>45753.258764607672</v>
      </c>
      <c r="B319" s="3" t="s">
        <v>16</v>
      </c>
      <c r="C319" s="3" t="s">
        <v>19</v>
      </c>
      <c r="D319" s="3">
        <v>82</v>
      </c>
      <c r="E319" s="3">
        <v>42</v>
      </c>
      <c r="F319" s="3">
        <v>14</v>
      </c>
      <c r="G319" s="3">
        <v>8</v>
      </c>
      <c r="H319" s="3">
        <v>0.51219512195121952</v>
      </c>
      <c r="I319" s="3">
        <v>0.33333333333333331</v>
      </c>
      <c r="J319" s="3">
        <v>0.5714285714285714</v>
      </c>
      <c r="K319" s="3">
        <v>9.7560975609756101E-2</v>
      </c>
    </row>
    <row r="320" spans="1:11" x14ac:dyDescent="0.25">
      <c r="A320" s="2">
        <v>45753.559265442404</v>
      </c>
      <c r="B320" s="3" t="s">
        <v>16</v>
      </c>
      <c r="C320" s="3" t="s">
        <v>18</v>
      </c>
      <c r="D320" s="3">
        <v>164</v>
      </c>
      <c r="E320" s="3">
        <v>115</v>
      </c>
      <c r="F320" s="3">
        <v>31</v>
      </c>
      <c r="G320" s="3">
        <v>15</v>
      </c>
      <c r="H320" s="3">
        <v>0.70121951219512191</v>
      </c>
      <c r="I320" s="3">
        <v>0.26956521739130429</v>
      </c>
      <c r="J320" s="3">
        <v>0.4838709677419355</v>
      </c>
      <c r="K320" s="3">
        <v>9.1463414634146339E-2</v>
      </c>
    </row>
    <row r="321" spans="1:11" x14ac:dyDescent="0.25">
      <c r="A321" s="2">
        <v>45753.859766277121</v>
      </c>
      <c r="B321" s="3" t="s">
        <v>16</v>
      </c>
      <c r="C321" s="3" t="s">
        <v>12</v>
      </c>
      <c r="D321" s="3">
        <v>407</v>
      </c>
      <c r="E321" s="3">
        <v>295</v>
      </c>
      <c r="F321" s="3">
        <v>59</v>
      </c>
      <c r="G321" s="3">
        <v>33</v>
      </c>
      <c r="H321" s="3">
        <v>0.72481572481572487</v>
      </c>
      <c r="I321" s="3">
        <v>0.2</v>
      </c>
      <c r="J321" s="3">
        <v>0.55932203389830504</v>
      </c>
      <c r="K321" s="3">
        <v>8.1081081081081086E-2</v>
      </c>
    </row>
    <row r="322" spans="1:11" x14ac:dyDescent="0.25">
      <c r="A322" s="2">
        <v>45754.160267111853</v>
      </c>
      <c r="B322" s="3" t="s">
        <v>15</v>
      </c>
      <c r="C322" s="3" t="s">
        <v>18</v>
      </c>
      <c r="D322" s="3">
        <v>529</v>
      </c>
      <c r="E322" s="3">
        <v>297</v>
      </c>
      <c r="F322" s="3">
        <v>75</v>
      </c>
      <c r="G322" s="3">
        <v>35</v>
      </c>
      <c r="H322" s="3">
        <v>0.56143667296786393</v>
      </c>
      <c r="I322" s="3">
        <v>0.25252525252525249</v>
      </c>
      <c r="J322" s="3">
        <v>0.46666666666666667</v>
      </c>
      <c r="K322" s="3">
        <v>6.6162570888468802E-2</v>
      </c>
    </row>
    <row r="323" spans="1:11" x14ac:dyDescent="0.25">
      <c r="A323" s="2">
        <v>45754.460767946577</v>
      </c>
      <c r="B323" s="3" t="s">
        <v>14</v>
      </c>
      <c r="C323" s="3" t="s">
        <v>12</v>
      </c>
      <c r="D323" s="3">
        <v>533</v>
      </c>
      <c r="E323" s="3">
        <v>300</v>
      </c>
      <c r="F323" s="3">
        <v>123</v>
      </c>
      <c r="G323" s="3">
        <v>53</v>
      </c>
      <c r="H323" s="3">
        <v>0.56285178236397748</v>
      </c>
      <c r="I323" s="3">
        <v>0.41</v>
      </c>
      <c r="J323" s="3">
        <v>0.43089430894308939</v>
      </c>
      <c r="K323" s="3">
        <v>9.9437148217636023E-2</v>
      </c>
    </row>
    <row r="324" spans="1:11" x14ac:dyDescent="0.25">
      <c r="A324" s="2">
        <v>45754.761268781287</v>
      </c>
      <c r="B324" s="3" t="s">
        <v>14</v>
      </c>
      <c r="C324" s="3" t="s">
        <v>18</v>
      </c>
      <c r="D324" s="3">
        <v>300</v>
      </c>
      <c r="E324" s="3">
        <v>224</v>
      </c>
      <c r="F324" s="3">
        <v>97</v>
      </c>
      <c r="G324" s="3">
        <v>56</v>
      </c>
      <c r="H324" s="3">
        <v>0.7466666666666667</v>
      </c>
      <c r="I324" s="3">
        <v>0.4330357142857143</v>
      </c>
      <c r="J324" s="3">
        <v>0.57731958762886593</v>
      </c>
      <c r="K324" s="3">
        <v>0.1866666666666667</v>
      </c>
    </row>
    <row r="325" spans="1:11" x14ac:dyDescent="0.25">
      <c r="A325" s="2">
        <v>45755.061769616019</v>
      </c>
      <c r="B325" s="3" t="s">
        <v>16</v>
      </c>
      <c r="C325" s="3" t="s">
        <v>18</v>
      </c>
      <c r="D325" s="3">
        <v>233</v>
      </c>
      <c r="E325" s="3">
        <v>164</v>
      </c>
      <c r="F325" s="3">
        <v>31</v>
      </c>
      <c r="G325" s="3">
        <v>17</v>
      </c>
      <c r="H325" s="3">
        <v>0.70386266094420602</v>
      </c>
      <c r="I325" s="3">
        <v>0.18902439024390241</v>
      </c>
      <c r="J325" s="3">
        <v>0.54838709677419351</v>
      </c>
      <c r="K325" s="3">
        <v>7.2961373390557943E-2</v>
      </c>
    </row>
    <row r="326" spans="1:11" x14ac:dyDescent="0.25">
      <c r="A326" s="2">
        <v>45755.362270450743</v>
      </c>
      <c r="B326" s="3" t="s">
        <v>13</v>
      </c>
      <c r="C326" s="3" t="s">
        <v>12</v>
      </c>
      <c r="D326" s="3">
        <v>91</v>
      </c>
      <c r="E326" s="3">
        <v>56</v>
      </c>
      <c r="F326" s="3">
        <v>17</v>
      </c>
      <c r="G326" s="3">
        <v>8</v>
      </c>
      <c r="H326" s="3">
        <v>0.61538461538461542</v>
      </c>
      <c r="I326" s="3">
        <v>0.30357142857142849</v>
      </c>
      <c r="J326" s="3">
        <v>0.47058823529411759</v>
      </c>
      <c r="K326" s="3">
        <v>8.7912087912087919E-2</v>
      </c>
    </row>
    <row r="327" spans="1:11" x14ac:dyDescent="0.25">
      <c r="A327" s="2">
        <v>45755.662771285482</v>
      </c>
      <c r="B327" s="3" t="s">
        <v>14</v>
      </c>
      <c r="C327" s="3" t="s">
        <v>12</v>
      </c>
      <c r="D327" s="3">
        <v>212</v>
      </c>
      <c r="E327" s="3">
        <v>163</v>
      </c>
      <c r="F327" s="3">
        <v>34</v>
      </c>
      <c r="G327" s="3">
        <v>17</v>
      </c>
      <c r="H327" s="3">
        <v>0.76886792452830188</v>
      </c>
      <c r="I327" s="3">
        <v>0.20858895705521471</v>
      </c>
      <c r="J327" s="3">
        <v>0.5</v>
      </c>
      <c r="K327" s="3">
        <v>8.0188679245283015E-2</v>
      </c>
    </row>
    <row r="328" spans="1:11" x14ac:dyDescent="0.25">
      <c r="A328" s="2">
        <v>45755.9632721202</v>
      </c>
      <c r="B328" s="3" t="s">
        <v>15</v>
      </c>
      <c r="C328" s="3" t="s">
        <v>12</v>
      </c>
      <c r="D328" s="3">
        <v>383</v>
      </c>
      <c r="E328" s="3">
        <v>271</v>
      </c>
      <c r="F328" s="3">
        <v>55</v>
      </c>
      <c r="G328" s="3">
        <v>20</v>
      </c>
      <c r="H328" s="3">
        <v>0.70757180156657962</v>
      </c>
      <c r="I328" s="3">
        <v>0.2029520295202952</v>
      </c>
      <c r="J328" s="3">
        <v>0.36363636363636359</v>
      </c>
      <c r="K328" s="3">
        <v>5.2219321148825062E-2</v>
      </c>
    </row>
    <row r="329" spans="1:11" x14ac:dyDescent="0.25">
      <c r="A329" s="2">
        <v>45756.263772954917</v>
      </c>
      <c r="B329" s="3" t="s">
        <v>15</v>
      </c>
      <c r="C329" s="3" t="s">
        <v>12</v>
      </c>
      <c r="D329" s="3">
        <v>372</v>
      </c>
      <c r="E329" s="3">
        <v>241</v>
      </c>
      <c r="F329" s="3">
        <v>66</v>
      </c>
      <c r="G329" s="3">
        <v>42</v>
      </c>
      <c r="H329" s="3">
        <v>0.64784946236559138</v>
      </c>
      <c r="I329" s="3">
        <v>0.27385892116182581</v>
      </c>
      <c r="J329" s="3">
        <v>0.63636363636363635</v>
      </c>
      <c r="K329" s="3">
        <v>0.1129032258064516</v>
      </c>
    </row>
    <row r="330" spans="1:11" x14ac:dyDescent="0.25">
      <c r="A330" s="2">
        <v>45756.564273789641</v>
      </c>
      <c r="B330" s="3" t="s">
        <v>11</v>
      </c>
      <c r="C330" s="3" t="s">
        <v>18</v>
      </c>
      <c r="D330" s="3">
        <v>379</v>
      </c>
      <c r="E330" s="3">
        <v>211</v>
      </c>
      <c r="F330" s="3">
        <v>46</v>
      </c>
      <c r="G330" s="3">
        <v>22</v>
      </c>
      <c r="H330" s="3">
        <v>0.55672823218997358</v>
      </c>
      <c r="I330" s="3">
        <v>0.21800947867298581</v>
      </c>
      <c r="J330" s="3">
        <v>0.47826086956521741</v>
      </c>
      <c r="K330" s="3">
        <v>5.8047493403693931E-2</v>
      </c>
    </row>
    <row r="331" spans="1:11" x14ac:dyDescent="0.25">
      <c r="A331" s="2">
        <v>45756.864774624373</v>
      </c>
      <c r="B331" s="3" t="s">
        <v>16</v>
      </c>
      <c r="C331" s="3" t="s">
        <v>12</v>
      </c>
      <c r="D331" s="3">
        <v>122</v>
      </c>
      <c r="E331" s="3">
        <v>76</v>
      </c>
      <c r="F331" s="3">
        <v>31</v>
      </c>
      <c r="G331" s="3">
        <v>16</v>
      </c>
      <c r="H331" s="3">
        <v>0.62295081967213117</v>
      </c>
      <c r="I331" s="3">
        <v>0.40789473684210531</v>
      </c>
      <c r="J331" s="3">
        <v>0.5161290322580645</v>
      </c>
      <c r="K331" s="3">
        <v>0.13114754098360659</v>
      </c>
    </row>
    <row r="332" spans="1:11" x14ac:dyDescent="0.25">
      <c r="A332" s="2">
        <v>45757.165275459098</v>
      </c>
      <c r="B332" s="3" t="s">
        <v>11</v>
      </c>
      <c r="C332" s="3" t="s">
        <v>12</v>
      </c>
      <c r="D332" s="3">
        <v>422</v>
      </c>
      <c r="E332" s="3">
        <v>305</v>
      </c>
      <c r="F332" s="3">
        <v>110</v>
      </c>
      <c r="G332" s="3">
        <v>44</v>
      </c>
      <c r="H332" s="3">
        <v>0.72274881516587675</v>
      </c>
      <c r="I332" s="3">
        <v>0.36065573770491799</v>
      </c>
      <c r="J332" s="3">
        <v>0.4</v>
      </c>
      <c r="K332" s="3">
        <v>0.1042654028436019</v>
      </c>
    </row>
    <row r="333" spans="1:11" x14ac:dyDescent="0.25">
      <c r="A333" s="2">
        <v>45757.465776293822</v>
      </c>
      <c r="B333" s="3" t="s">
        <v>14</v>
      </c>
      <c r="C333" s="3" t="s">
        <v>18</v>
      </c>
      <c r="D333" s="3">
        <v>405</v>
      </c>
      <c r="E333" s="3">
        <v>303</v>
      </c>
      <c r="F333" s="3">
        <v>109</v>
      </c>
      <c r="G333" s="3">
        <v>60</v>
      </c>
      <c r="H333" s="3">
        <v>0.74814814814814812</v>
      </c>
      <c r="I333" s="3">
        <v>0.35973597359735981</v>
      </c>
      <c r="J333" s="3">
        <v>0.55045871559633031</v>
      </c>
      <c r="K333" s="3">
        <v>0.14814814814814811</v>
      </c>
    </row>
    <row r="334" spans="1:11" x14ac:dyDescent="0.25">
      <c r="A334" s="2">
        <v>45757.76627712854</v>
      </c>
      <c r="B334" s="3" t="s">
        <v>16</v>
      </c>
      <c r="C334" s="3" t="s">
        <v>19</v>
      </c>
      <c r="D334" s="3">
        <v>577</v>
      </c>
      <c r="E334" s="3">
        <v>447</v>
      </c>
      <c r="F334" s="3">
        <v>145</v>
      </c>
      <c r="G334" s="3">
        <v>58</v>
      </c>
      <c r="H334" s="3">
        <v>0.77469670710571925</v>
      </c>
      <c r="I334" s="3">
        <v>0.32438478747203581</v>
      </c>
      <c r="J334" s="3">
        <v>0.4</v>
      </c>
      <c r="K334" s="3">
        <v>0.1005199306759099</v>
      </c>
    </row>
    <row r="335" spans="1:11" x14ac:dyDescent="0.25">
      <c r="A335" s="2">
        <v>45758.066777963257</v>
      </c>
      <c r="B335" s="3" t="s">
        <v>16</v>
      </c>
      <c r="C335" s="3" t="s">
        <v>12</v>
      </c>
      <c r="D335" s="3">
        <v>443</v>
      </c>
      <c r="E335" s="3">
        <v>277</v>
      </c>
      <c r="F335" s="3">
        <v>110</v>
      </c>
      <c r="G335" s="3">
        <v>50</v>
      </c>
      <c r="H335" s="3">
        <v>0.62528216704288941</v>
      </c>
      <c r="I335" s="3">
        <v>0.3971119133574007</v>
      </c>
      <c r="J335" s="3">
        <v>0.45454545454545447</v>
      </c>
      <c r="K335" s="3">
        <v>0.11286681715575619</v>
      </c>
    </row>
    <row r="336" spans="1:11" x14ac:dyDescent="0.25">
      <c r="A336" s="2">
        <v>45758.367278797989</v>
      </c>
      <c r="B336" s="3" t="s">
        <v>16</v>
      </c>
      <c r="C336" s="3" t="s">
        <v>12</v>
      </c>
      <c r="D336" s="3">
        <v>506</v>
      </c>
      <c r="E336" s="3">
        <v>308</v>
      </c>
      <c r="F336" s="3">
        <v>55</v>
      </c>
      <c r="G336" s="3">
        <v>27</v>
      </c>
      <c r="H336" s="3">
        <v>0.60869565217391308</v>
      </c>
      <c r="I336" s="3">
        <v>0.1785714285714286</v>
      </c>
      <c r="J336" s="3">
        <v>0.49090909090909091</v>
      </c>
      <c r="K336" s="3">
        <v>5.33596837944664E-2</v>
      </c>
    </row>
    <row r="337" spans="1:11" x14ac:dyDescent="0.25">
      <c r="A337" s="2">
        <v>45758.66777963272</v>
      </c>
      <c r="B337" s="3" t="s">
        <v>16</v>
      </c>
      <c r="C337" s="3" t="s">
        <v>12</v>
      </c>
      <c r="D337" s="3">
        <v>100</v>
      </c>
      <c r="E337" s="3">
        <v>64</v>
      </c>
      <c r="F337" s="3">
        <v>27</v>
      </c>
      <c r="G337" s="3">
        <v>4</v>
      </c>
      <c r="H337" s="3">
        <v>0.64</v>
      </c>
      <c r="I337" s="3">
        <v>0.421875</v>
      </c>
      <c r="J337" s="3">
        <v>0.14814814814814811</v>
      </c>
      <c r="K337" s="3">
        <v>0.04</v>
      </c>
    </row>
    <row r="338" spans="1:11" x14ac:dyDescent="0.25">
      <c r="A338" s="2">
        <v>45758.968280467438</v>
      </c>
      <c r="B338" s="3" t="s">
        <v>17</v>
      </c>
      <c r="C338" s="3" t="s">
        <v>12</v>
      </c>
      <c r="D338" s="3">
        <v>486</v>
      </c>
      <c r="E338" s="3">
        <v>292</v>
      </c>
      <c r="F338" s="3">
        <v>95</v>
      </c>
      <c r="G338" s="3">
        <v>42</v>
      </c>
      <c r="H338" s="3">
        <v>0.60082304526748975</v>
      </c>
      <c r="I338" s="3">
        <v>0.32534246575342468</v>
      </c>
      <c r="J338" s="3">
        <v>0.44210526315789472</v>
      </c>
      <c r="K338" s="3">
        <v>8.6419753086419748E-2</v>
      </c>
    </row>
    <row r="339" spans="1:11" x14ac:dyDescent="0.25">
      <c r="A339" s="2">
        <v>45759.268781302162</v>
      </c>
      <c r="B339" s="3" t="s">
        <v>14</v>
      </c>
      <c r="C339" s="3" t="s">
        <v>18</v>
      </c>
      <c r="D339" s="3">
        <v>415</v>
      </c>
      <c r="E339" s="3">
        <v>256</v>
      </c>
      <c r="F339" s="3">
        <v>90</v>
      </c>
      <c r="G339" s="3">
        <v>55</v>
      </c>
      <c r="H339" s="3">
        <v>0.61686746987951813</v>
      </c>
      <c r="I339" s="3">
        <v>0.3515625</v>
      </c>
      <c r="J339" s="3">
        <v>0.61111111111111116</v>
      </c>
      <c r="K339" s="3">
        <v>0.13253012048192769</v>
      </c>
    </row>
    <row r="340" spans="1:11" x14ac:dyDescent="0.25">
      <c r="A340" s="2">
        <v>45759.569282136887</v>
      </c>
      <c r="B340" s="3" t="s">
        <v>15</v>
      </c>
      <c r="C340" s="3" t="s">
        <v>12</v>
      </c>
      <c r="D340" s="3">
        <v>196</v>
      </c>
      <c r="E340" s="3">
        <v>137</v>
      </c>
      <c r="F340" s="3">
        <v>38</v>
      </c>
      <c r="G340" s="3">
        <v>21</v>
      </c>
      <c r="H340" s="3">
        <v>0.69897959183673475</v>
      </c>
      <c r="I340" s="3">
        <v>0.27737226277372262</v>
      </c>
      <c r="J340" s="3">
        <v>0.55263157894736847</v>
      </c>
      <c r="K340" s="3">
        <v>0.1071428571428571</v>
      </c>
    </row>
    <row r="341" spans="1:11" x14ac:dyDescent="0.25">
      <c r="A341" s="2">
        <v>45759.869782971611</v>
      </c>
      <c r="B341" s="3" t="s">
        <v>16</v>
      </c>
      <c r="C341" s="3" t="s">
        <v>12</v>
      </c>
      <c r="D341" s="3">
        <v>203</v>
      </c>
      <c r="E341" s="3">
        <v>123</v>
      </c>
      <c r="F341" s="3">
        <v>38</v>
      </c>
      <c r="G341" s="3">
        <v>14</v>
      </c>
      <c r="H341" s="3">
        <v>0.60591133004926112</v>
      </c>
      <c r="I341" s="3">
        <v>0.30894308943089432</v>
      </c>
      <c r="J341" s="3">
        <v>0.36842105263157893</v>
      </c>
      <c r="K341" s="3">
        <v>6.8965517241379309E-2</v>
      </c>
    </row>
    <row r="342" spans="1:11" x14ac:dyDescent="0.25">
      <c r="A342" s="2">
        <v>45760.170283806343</v>
      </c>
      <c r="B342" s="3" t="s">
        <v>15</v>
      </c>
      <c r="C342" s="3" t="s">
        <v>12</v>
      </c>
      <c r="D342" s="3">
        <v>478</v>
      </c>
      <c r="E342" s="3">
        <v>290</v>
      </c>
      <c r="F342" s="3">
        <v>111</v>
      </c>
      <c r="G342" s="3">
        <v>40</v>
      </c>
      <c r="H342" s="3">
        <v>0.60669456066945604</v>
      </c>
      <c r="I342" s="3">
        <v>0.38275862068965522</v>
      </c>
      <c r="J342" s="3">
        <v>0.36036036036036029</v>
      </c>
      <c r="K342" s="3">
        <v>8.3682008368200833E-2</v>
      </c>
    </row>
    <row r="343" spans="1:11" x14ac:dyDescent="0.25">
      <c r="A343" s="2">
        <v>45760.470784641067</v>
      </c>
      <c r="B343" s="3" t="s">
        <v>15</v>
      </c>
      <c r="C343" s="3" t="s">
        <v>12</v>
      </c>
      <c r="D343" s="3">
        <v>130</v>
      </c>
      <c r="E343" s="3">
        <v>101</v>
      </c>
      <c r="F343" s="3">
        <v>40</v>
      </c>
      <c r="G343" s="3">
        <v>20</v>
      </c>
      <c r="H343" s="3">
        <v>0.77692307692307694</v>
      </c>
      <c r="I343" s="3">
        <v>0.39603960396039611</v>
      </c>
      <c r="J343" s="3">
        <v>0.5</v>
      </c>
      <c r="K343" s="3">
        <v>0.15384615384615391</v>
      </c>
    </row>
    <row r="344" spans="1:11" x14ac:dyDescent="0.25">
      <c r="A344" s="2">
        <v>45760.771285475777</v>
      </c>
      <c r="B344" s="3" t="s">
        <v>16</v>
      </c>
      <c r="C344" s="3" t="s">
        <v>18</v>
      </c>
      <c r="D344" s="3">
        <v>403</v>
      </c>
      <c r="E344" s="3">
        <v>273</v>
      </c>
      <c r="F344" s="3">
        <v>108</v>
      </c>
      <c r="G344" s="3">
        <v>60</v>
      </c>
      <c r="H344" s="3">
        <v>0.67741935483870963</v>
      </c>
      <c r="I344" s="3">
        <v>0.39560439560439559</v>
      </c>
      <c r="J344" s="3">
        <v>0.55555555555555558</v>
      </c>
      <c r="K344" s="3">
        <v>0.14888337468982629</v>
      </c>
    </row>
    <row r="345" spans="1:11" x14ac:dyDescent="0.25">
      <c r="A345" s="2">
        <v>45761.071786310509</v>
      </c>
      <c r="B345" s="3" t="s">
        <v>11</v>
      </c>
      <c r="C345" s="3" t="s">
        <v>18</v>
      </c>
      <c r="D345" s="3">
        <v>220</v>
      </c>
      <c r="E345" s="3">
        <v>145</v>
      </c>
      <c r="F345" s="3">
        <v>63</v>
      </c>
      <c r="G345" s="3">
        <v>33</v>
      </c>
      <c r="H345" s="3">
        <v>0.65909090909090906</v>
      </c>
      <c r="I345" s="3">
        <v>0.43448275862068958</v>
      </c>
      <c r="J345" s="3">
        <v>0.52380952380952384</v>
      </c>
      <c r="K345" s="3">
        <v>0.15</v>
      </c>
    </row>
    <row r="346" spans="1:11" x14ac:dyDescent="0.25">
      <c r="A346" s="2">
        <v>45761.372287145226</v>
      </c>
      <c r="B346" s="3" t="s">
        <v>11</v>
      </c>
      <c r="C346" s="3" t="s">
        <v>12</v>
      </c>
      <c r="D346" s="3">
        <v>549</v>
      </c>
      <c r="E346" s="3">
        <v>385</v>
      </c>
      <c r="F346" s="3">
        <v>130</v>
      </c>
      <c r="G346" s="3">
        <v>57</v>
      </c>
      <c r="H346" s="3">
        <v>0.70127504553734066</v>
      </c>
      <c r="I346" s="3">
        <v>0.33766233766233772</v>
      </c>
      <c r="J346" s="3">
        <v>0.43846153846153851</v>
      </c>
      <c r="K346" s="3">
        <v>0.1038251366120219</v>
      </c>
    </row>
    <row r="347" spans="1:11" x14ac:dyDescent="0.25">
      <c r="A347" s="2">
        <v>45761.672787979973</v>
      </c>
      <c r="B347" s="3" t="s">
        <v>15</v>
      </c>
      <c r="C347" s="3" t="s">
        <v>12</v>
      </c>
      <c r="D347" s="3">
        <v>413</v>
      </c>
      <c r="E347" s="3">
        <v>277</v>
      </c>
      <c r="F347" s="3">
        <v>47</v>
      </c>
      <c r="G347" s="3">
        <v>24</v>
      </c>
      <c r="H347" s="3">
        <v>0.67070217917675545</v>
      </c>
      <c r="I347" s="3">
        <v>0.16967509025270761</v>
      </c>
      <c r="J347" s="3">
        <v>0.51063829787234039</v>
      </c>
      <c r="K347" s="3">
        <v>5.8111380145278453E-2</v>
      </c>
    </row>
    <row r="348" spans="1:11" x14ac:dyDescent="0.25">
      <c r="A348" s="2">
        <v>45761.97328881469</v>
      </c>
      <c r="B348" s="3" t="s">
        <v>15</v>
      </c>
      <c r="C348" s="3" t="s">
        <v>12</v>
      </c>
      <c r="D348" s="3">
        <v>452</v>
      </c>
      <c r="E348" s="3">
        <v>358</v>
      </c>
      <c r="F348" s="3">
        <v>70</v>
      </c>
      <c r="G348" s="3">
        <v>36</v>
      </c>
      <c r="H348" s="3">
        <v>0.79203539823008851</v>
      </c>
      <c r="I348" s="3">
        <v>0.1955307262569832</v>
      </c>
      <c r="J348" s="3">
        <v>0.51428571428571423</v>
      </c>
      <c r="K348" s="3">
        <v>7.9646017699115043E-2</v>
      </c>
    </row>
    <row r="349" spans="1:11" x14ac:dyDescent="0.25">
      <c r="A349" s="2">
        <v>45762.273789649407</v>
      </c>
      <c r="B349" s="3" t="s">
        <v>16</v>
      </c>
      <c r="C349" s="3" t="s">
        <v>18</v>
      </c>
      <c r="D349" s="3">
        <v>643</v>
      </c>
      <c r="E349" s="3">
        <v>470</v>
      </c>
      <c r="F349" s="3">
        <v>123</v>
      </c>
      <c r="G349" s="3">
        <v>56</v>
      </c>
      <c r="H349" s="3">
        <v>0.73094867807153963</v>
      </c>
      <c r="I349" s="3">
        <v>0.26170212765957451</v>
      </c>
      <c r="J349" s="3">
        <v>0.45528455284552838</v>
      </c>
      <c r="K349" s="3">
        <v>8.7091757387247282E-2</v>
      </c>
    </row>
    <row r="350" spans="1:11" x14ac:dyDescent="0.25">
      <c r="A350" s="2">
        <v>45762.574290484132</v>
      </c>
      <c r="B350" s="3" t="s">
        <v>11</v>
      </c>
      <c r="C350" s="3" t="s">
        <v>18</v>
      </c>
      <c r="D350" s="3">
        <v>573</v>
      </c>
      <c r="E350" s="3">
        <v>383</v>
      </c>
      <c r="F350" s="3">
        <v>112</v>
      </c>
      <c r="G350" s="3">
        <v>53</v>
      </c>
      <c r="H350" s="3">
        <v>0.66841186736474689</v>
      </c>
      <c r="I350" s="3">
        <v>0.29242819843342038</v>
      </c>
      <c r="J350" s="3">
        <v>0.4732142857142857</v>
      </c>
      <c r="K350" s="3">
        <v>9.2495636998254804E-2</v>
      </c>
    </row>
    <row r="351" spans="1:11" x14ac:dyDescent="0.25">
      <c r="A351" s="2">
        <v>45762.874791318864</v>
      </c>
      <c r="B351" s="3" t="s">
        <v>15</v>
      </c>
      <c r="C351" s="3" t="s">
        <v>18</v>
      </c>
      <c r="D351" s="3">
        <v>618</v>
      </c>
      <c r="E351" s="3">
        <v>505</v>
      </c>
      <c r="F351" s="3">
        <v>180</v>
      </c>
      <c r="G351" s="3">
        <v>90</v>
      </c>
      <c r="H351" s="3">
        <v>0.81715210355987056</v>
      </c>
      <c r="I351" s="3">
        <v>0.35643564356435642</v>
      </c>
      <c r="J351" s="3">
        <v>0.5</v>
      </c>
      <c r="K351" s="3">
        <v>0.14563106796116501</v>
      </c>
    </row>
    <row r="352" spans="1:11" x14ac:dyDescent="0.25">
      <c r="A352" s="2">
        <v>45763.175292153588</v>
      </c>
      <c r="B352" s="3" t="s">
        <v>15</v>
      </c>
      <c r="C352" s="3" t="s">
        <v>18</v>
      </c>
      <c r="D352" s="3">
        <v>235</v>
      </c>
      <c r="E352" s="3">
        <v>135</v>
      </c>
      <c r="F352" s="3">
        <v>25</v>
      </c>
      <c r="G352" s="3">
        <v>15</v>
      </c>
      <c r="H352" s="3">
        <v>0.57446808510638303</v>
      </c>
      <c r="I352" s="3">
        <v>0.1851851851851852</v>
      </c>
      <c r="J352" s="3">
        <v>0.6</v>
      </c>
      <c r="K352" s="3">
        <v>6.3829787234042548E-2</v>
      </c>
    </row>
    <row r="353" spans="1:11" x14ac:dyDescent="0.25">
      <c r="A353" s="2">
        <v>45763.475792988313</v>
      </c>
      <c r="B353" s="3" t="s">
        <v>17</v>
      </c>
      <c r="C353" s="3" t="s">
        <v>18</v>
      </c>
      <c r="D353" s="3">
        <v>370</v>
      </c>
      <c r="E353" s="3">
        <v>241</v>
      </c>
      <c r="F353" s="3">
        <v>87</v>
      </c>
      <c r="G353" s="3">
        <v>44</v>
      </c>
      <c r="H353" s="3">
        <v>0.65135135135135136</v>
      </c>
      <c r="I353" s="3">
        <v>0.36099585062240658</v>
      </c>
      <c r="J353" s="3">
        <v>0.50574712643678166</v>
      </c>
      <c r="K353" s="3">
        <v>0.1189189189189189</v>
      </c>
    </row>
    <row r="354" spans="1:11" x14ac:dyDescent="0.25">
      <c r="A354" s="2">
        <v>45763.77629382303</v>
      </c>
      <c r="B354" s="3" t="s">
        <v>14</v>
      </c>
      <c r="C354" s="3" t="s">
        <v>12</v>
      </c>
      <c r="D354" s="3">
        <v>223</v>
      </c>
      <c r="E354" s="3">
        <v>174</v>
      </c>
      <c r="F354" s="3">
        <v>58</v>
      </c>
      <c r="G354" s="3">
        <v>34</v>
      </c>
      <c r="H354" s="3">
        <v>0.78026905829596416</v>
      </c>
      <c r="I354" s="3">
        <v>0.33333333333333331</v>
      </c>
      <c r="J354" s="3">
        <v>0.58620689655172409</v>
      </c>
      <c r="K354" s="3">
        <v>0.15246636771300451</v>
      </c>
    </row>
    <row r="355" spans="1:11" x14ac:dyDescent="0.25">
      <c r="A355" s="2">
        <v>45764.076794657747</v>
      </c>
      <c r="B355" s="3" t="s">
        <v>16</v>
      </c>
      <c r="C355" s="3" t="s">
        <v>18</v>
      </c>
      <c r="D355" s="3">
        <v>185</v>
      </c>
      <c r="E355" s="3">
        <v>128</v>
      </c>
      <c r="F355" s="3">
        <v>38</v>
      </c>
      <c r="G355" s="3">
        <v>23</v>
      </c>
      <c r="H355" s="3">
        <v>0.69189189189189193</v>
      </c>
      <c r="I355" s="3">
        <v>0.296875</v>
      </c>
      <c r="J355" s="3">
        <v>0.60526315789473684</v>
      </c>
      <c r="K355" s="3">
        <v>0.1243243243243243</v>
      </c>
    </row>
    <row r="356" spans="1:11" x14ac:dyDescent="0.25">
      <c r="A356" s="2">
        <v>45764.377295492479</v>
      </c>
      <c r="B356" s="3" t="s">
        <v>16</v>
      </c>
      <c r="C356" s="3" t="s">
        <v>12</v>
      </c>
      <c r="D356" s="3">
        <v>499</v>
      </c>
      <c r="E356" s="3">
        <v>288</v>
      </c>
      <c r="F356" s="3">
        <v>110</v>
      </c>
      <c r="G356" s="3">
        <v>47</v>
      </c>
      <c r="H356" s="3">
        <v>0.57715430861723449</v>
      </c>
      <c r="I356" s="3">
        <v>0.38194444444444442</v>
      </c>
      <c r="J356" s="3">
        <v>0.42727272727272719</v>
      </c>
      <c r="K356" s="3">
        <v>9.4188376753507011E-2</v>
      </c>
    </row>
    <row r="357" spans="1:11" x14ac:dyDescent="0.25">
      <c r="A357" s="2">
        <v>45764.677796327211</v>
      </c>
      <c r="B357" s="3" t="s">
        <v>14</v>
      </c>
      <c r="C357" s="3" t="s">
        <v>30</v>
      </c>
      <c r="D357" s="3">
        <v>81</v>
      </c>
      <c r="E357" s="3">
        <v>45</v>
      </c>
      <c r="F357" s="3">
        <v>8</v>
      </c>
      <c r="G357" s="3">
        <v>3</v>
      </c>
      <c r="H357" s="3">
        <v>0.55555555555555558</v>
      </c>
      <c r="I357" s="3">
        <v>0.17777777777777781</v>
      </c>
      <c r="J357" s="3">
        <v>0.375</v>
      </c>
      <c r="K357" s="3">
        <v>3.7037037037037028E-2</v>
      </c>
    </row>
    <row r="358" spans="1:11" x14ac:dyDescent="0.25">
      <c r="A358" s="2">
        <v>45764.978297161942</v>
      </c>
      <c r="B358" s="3" t="s">
        <v>16</v>
      </c>
      <c r="C358" s="3" t="s">
        <v>12</v>
      </c>
      <c r="D358" s="3">
        <v>169</v>
      </c>
      <c r="E358" s="3">
        <v>128</v>
      </c>
      <c r="F358" s="3">
        <v>30</v>
      </c>
      <c r="G358" s="3">
        <v>16</v>
      </c>
      <c r="H358" s="3">
        <v>0.75739644970414199</v>
      </c>
      <c r="I358" s="3">
        <v>0.234375</v>
      </c>
      <c r="J358" s="3">
        <v>0.53333333333333333</v>
      </c>
      <c r="K358" s="3">
        <v>9.4674556213017749E-2</v>
      </c>
    </row>
    <row r="359" spans="1:11" x14ac:dyDescent="0.25">
      <c r="A359" s="2">
        <v>45765.278797996652</v>
      </c>
      <c r="B359" s="3" t="s">
        <v>15</v>
      </c>
      <c r="C359" s="3" t="s">
        <v>12</v>
      </c>
      <c r="D359" s="3">
        <v>424</v>
      </c>
      <c r="E359" s="3">
        <v>246</v>
      </c>
      <c r="F359" s="3">
        <v>84</v>
      </c>
      <c r="G359" s="3">
        <v>40</v>
      </c>
      <c r="H359" s="3">
        <v>0.58018867924528306</v>
      </c>
      <c r="I359" s="3">
        <v>0.34146341463414642</v>
      </c>
      <c r="J359" s="3">
        <v>0.47619047619047622</v>
      </c>
      <c r="K359" s="3">
        <v>9.4339622641509441E-2</v>
      </c>
    </row>
    <row r="360" spans="1:11" x14ac:dyDescent="0.25">
      <c r="A360" s="2">
        <v>45765.579298831377</v>
      </c>
      <c r="B360" s="3" t="s">
        <v>13</v>
      </c>
      <c r="C360" s="3" t="s">
        <v>12</v>
      </c>
      <c r="D360" s="3">
        <v>429</v>
      </c>
      <c r="E360" s="3">
        <v>279</v>
      </c>
      <c r="F360" s="3">
        <v>109</v>
      </c>
      <c r="G360" s="3">
        <v>51</v>
      </c>
      <c r="H360" s="3">
        <v>0.65034965034965031</v>
      </c>
      <c r="I360" s="3">
        <v>0.39068100358422941</v>
      </c>
      <c r="J360" s="3">
        <v>0.46788990825688082</v>
      </c>
      <c r="K360" s="3">
        <v>0.11888111888111889</v>
      </c>
    </row>
    <row r="361" spans="1:11" x14ac:dyDescent="0.25">
      <c r="A361" s="2">
        <v>45765.879799666101</v>
      </c>
      <c r="B361" s="3" t="s">
        <v>15</v>
      </c>
      <c r="C361" s="3" t="s">
        <v>18</v>
      </c>
      <c r="D361" s="3">
        <v>538</v>
      </c>
      <c r="E361" s="3">
        <v>434</v>
      </c>
      <c r="F361" s="3">
        <v>194</v>
      </c>
      <c r="G361" s="3">
        <v>65</v>
      </c>
      <c r="H361" s="3">
        <v>0.80669144981412644</v>
      </c>
      <c r="I361" s="3">
        <v>0.44700460829493088</v>
      </c>
      <c r="J361" s="3">
        <v>0.33505154639175261</v>
      </c>
      <c r="K361" s="3">
        <v>0.120817843866171</v>
      </c>
    </row>
    <row r="362" spans="1:11" x14ac:dyDescent="0.25">
      <c r="A362" s="2">
        <v>45766.180300500833</v>
      </c>
      <c r="B362" s="3" t="s">
        <v>11</v>
      </c>
      <c r="C362" s="3" t="s">
        <v>12</v>
      </c>
      <c r="D362" s="3">
        <v>342</v>
      </c>
      <c r="E362" s="3">
        <v>280</v>
      </c>
      <c r="F362" s="3">
        <v>85</v>
      </c>
      <c r="G362" s="3">
        <v>55</v>
      </c>
      <c r="H362" s="3">
        <v>0.81871345029239762</v>
      </c>
      <c r="I362" s="3">
        <v>0.30357142857142849</v>
      </c>
      <c r="J362" s="3">
        <v>0.6470588235294118</v>
      </c>
      <c r="K362" s="3">
        <v>0.16081871345029239</v>
      </c>
    </row>
    <row r="363" spans="1:11" x14ac:dyDescent="0.25">
      <c r="A363" s="2">
        <v>45766.480801335558</v>
      </c>
      <c r="B363" s="3" t="s">
        <v>14</v>
      </c>
      <c r="C363" s="3" t="s">
        <v>18</v>
      </c>
      <c r="D363" s="3">
        <v>430</v>
      </c>
      <c r="E363" s="3">
        <v>302</v>
      </c>
      <c r="F363" s="3">
        <v>111</v>
      </c>
      <c r="G363" s="3">
        <v>44</v>
      </c>
      <c r="H363" s="3">
        <v>0.70232558139534884</v>
      </c>
      <c r="I363" s="3">
        <v>0.36754966887417218</v>
      </c>
      <c r="J363" s="3">
        <v>0.3963963963963964</v>
      </c>
      <c r="K363" s="3">
        <v>0.10232558139534879</v>
      </c>
    </row>
    <row r="364" spans="1:11" x14ac:dyDescent="0.25">
      <c r="A364" s="2">
        <v>45766.781302170282</v>
      </c>
      <c r="B364" s="3" t="s">
        <v>11</v>
      </c>
      <c r="C364" s="3" t="s">
        <v>12</v>
      </c>
      <c r="D364" s="3">
        <v>187</v>
      </c>
      <c r="E364" s="3">
        <v>113</v>
      </c>
      <c r="F364" s="3">
        <v>23</v>
      </c>
      <c r="G364" s="3">
        <v>12</v>
      </c>
      <c r="H364" s="3">
        <v>0.60427807486631013</v>
      </c>
      <c r="I364" s="3">
        <v>0.2035398230088496</v>
      </c>
      <c r="J364" s="3">
        <v>0.52173913043478259</v>
      </c>
      <c r="K364" s="3">
        <v>6.4171122994652413E-2</v>
      </c>
    </row>
    <row r="365" spans="1:11" x14ac:dyDescent="0.25">
      <c r="A365" s="2">
        <v>45767.081803005</v>
      </c>
      <c r="B365" s="3" t="s">
        <v>15</v>
      </c>
      <c r="C365" s="3" t="s">
        <v>12</v>
      </c>
      <c r="D365" s="3">
        <v>118</v>
      </c>
      <c r="E365" s="3">
        <v>84</v>
      </c>
      <c r="F365" s="3">
        <v>14</v>
      </c>
      <c r="G365" s="3">
        <v>3</v>
      </c>
      <c r="H365" s="3">
        <v>0.71186440677966101</v>
      </c>
      <c r="I365" s="3">
        <v>0.16666666666666671</v>
      </c>
      <c r="J365" s="3">
        <v>0.2142857142857143</v>
      </c>
      <c r="K365" s="3">
        <v>2.542372881355932E-2</v>
      </c>
    </row>
    <row r="366" spans="1:11" x14ac:dyDescent="0.25">
      <c r="A366" s="2">
        <v>45767.382303839717</v>
      </c>
      <c r="B366" s="3" t="s">
        <v>13</v>
      </c>
      <c r="C366" s="3" t="s">
        <v>12</v>
      </c>
      <c r="D366" s="3">
        <v>238</v>
      </c>
      <c r="E366" s="3">
        <v>174</v>
      </c>
      <c r="F366" s="3">
        <v>50</v>
      </c>
      <c r="G366" s="3">
        <v>25</v>
      </c>
      <c r="H366" s="3">
        <v>0.73109243697478987</v>
      </c>
      <c r="I366" s="3">
        <v>0.28735632183908039</v>
      </c>
      <c r="J366" s="3">
        <v>0.5</v>
      </c>
      <c r="K366" s="3">
        <v>0.1050420168067227</v>
      </c>
    </row>
    <row r="367" spans="1:11" x14ac:dyDescent="0.25">
      <c r="A367" s="2">
        <v>45767.682804674463</v>
      </c>
      <c r="B367" s="3" t="s">
        <v>11</v>
      </c>
      <c r="C367" s="3" t="s">
        <v>12</v>
      </c>
      <c r="D367" s="3">
        <v>391</v>
      </c>
      <c r="E367" s="3">
        <v>222</v>
      </c>
      <c r="F367" s="3">
        <v>72</v>
      </c>
      <c r="G367" s="3">
        <v>12</v>
      </c>
      <c r="H367" s="3">
        <v>0.56777493606138107</v>
      </c>
      <c r="I367" s="3">
        <v>0.32432432432432429</v>
      </c>
      <c r="J367" s="3">
        <v>0.16666666666666671</v>
      </c>
      <c r="K367" s="3">
        <v>3.0690537084398981E-2</v>
      </c>
    </row>
    <row r="368" spans="1:11" x14ac:dyDescent="0.25">
      <c r="A368" s="2">
        <v>45767.98330550918</v>
      </c>
      <c r="B368" s="3" t="s">
        <v>13</v>
      </c>
      <c r="C368" s="3" t="s">
        <v>18</v>
      </c>
      <c r="D368" s="3">
        <v>320</v>
      </c>
      <c r="E368" s="3">
        <v>219</v>
      </c>
      <c r="F368" s="3">
        <v>56</v>
      </c>
      <c r="G368" s="3">
        <v>33</v>
      </c>
      <c r="H368" s="3">
        <v>0.68437499999999996</v>
      </c>
      <c r="I368" s="3">
        <v>0.25570776255707761</v>
      </c>
      <c r="J368" s="3">
        <v>0.5892857142857143</v>
      </c>
      <c r="K368" s="3">
        <v>0.10312499999999999</v>
      </c>
    </row>
    <row r="369" spans="1:11" x14ac:dyDescent="0.25">
      <c r="A369" s="2">
        <v>45768.283806343898</v>
      </c>
      <c r="B369" s="3" t="s">
        <v>17</v>
      </c>
      <c r="C369" s="3" t="s">
        <v>12</v>
      </c>
      <c r="D369" s="3">
        <v>524</v>
      </c>
      <c r="E369" s="3">
        <v>379</v>
      </c>
      <c r="F369" s="3">
        <v>89</v>
      </c>
      <c r="G369" s="3">
        <v>40</v>
      </c>
      <c r="H369" s="3">
        <v>0.72328244274809161</v>
      </c>
      <c r="I369" s="3">
        <v>0.23482849604221639</v>
      </c>
      <c r="J369" s="3">
        <v>0.449438202247191</v>
      </c>
      <c r="K369" s="3">
        <v>7.6335877862595422E-2</v>
      </c>
    </row>
    <row r="370" spans="1:11" x14ac:dyDescent="0.25">
      <c r="A370" s="2">
        <v>45768.584307178622</v>
      </c>
      <c r="B370" s="3" t="s">
        <v>16</v>
      </c>
      <c r="C370" s="3" t="s">
        <v>12</v>
      </c>
      <c r="D370" s="3">
        <v>377</v>
      </c>
      <c r="E370" s="3">
        <v>259</v>
      </c>
      <c r="F370" s="3">
        <v>48</v>
      </c>
      <c r="G370" s="3">
        <v>19</v>
      </c>
      <c r="H370" s="3">
        <v>0.6870026525198939</v>
      </c>
      <c r="I370" s="3">
        <v>0.18532818532818529</v>
      </c>
      <c r="J370" s="3">
        <v>0.39583333333333331</v>
      </c>
      <c r="K370" s="3">
        <v>5.0397877984084877E-2</v>
      </c>
    </row>
    <row r="371" spans="1:11" x14ac:dyDescent="0.25">
      <c r="A371" s="2">
        <v>45768.884808013347</v>
      </c>
      <c r="B371" s="3" t="s">
        <v>16</v>
      </c>
      <c r="C371" s="3" t="s">
        <v>12</v>
      </c>
      <c r="D371" s="3">
        <v>115</v>
      </c>
      <c r="E371" s="3">
        <v>83</v>
      </c>
      <c r="F371" s="3">
        <v>15</v>
      </c>
      <c r="G371" s="3">
        <v>3</v>
      </c>
      <c r="H371" s="3">
        <v>0.72173913043478266</v>
      </c>
      <c r="I371" s="3">
        <v>0.18072289156626509</v>
      </c>
      <c r="J371" s="3">
        <v>0.2</v>
      </c>
      <c r="K371" s="3">
        <v>2.6086956521739129E-2</v>
      </c>
    </row>
    <row r="372" spans="1:11" x14ac:dyDescent="0.25">
      <c r="A372" s="2">
        <v>45769.185308848078</v>
      </c>
      <c r="B372" s="3" t="s">
        <v>16</v>
      </c>
      <c r="C372" s="3" t="s">
        <v>18</v>
      </c>
      <c r="D372" s="3">
        <v>163</v>
      </c>
      <c r="E372" s="3">
        <v>87</v>
      </c>
      <c r="F372" s="3">
        <v>19</v>
      </c>
      <c r="G372" s="3">
        <v>14</v>
      </c>
      <c r="H372" s="3">
        <v>0.53374233128834359</v>
      </c>
      <c r="I372" s="3">
        <v>0.21839080459770119</v>
      </c>
      <c r="J372" s="3">
        <v>0.73684210526315785</v>
      </c>
      <c r="K372" s="3">
        <v>8.5889570552147243E-2</v>
      </c>
    </row>
    <row r="373" spans="1:11" x14ac:dyDescent="0.25">
      <c r="A373" s="2">
        <v>45769.485809682803</v>
      </c>
      <c r="B373" s="3" t="s">
        <v>16</v>
      </c>
      <c r="C373" s="3" t="s">
        <v>19</v>
      </c>
      <c r="D373" s="3">
        <v>531</v>
      </c>
      <c r="E373" s="3">
        <v>336</v>
      </c>
      <c r="F373" s="3">
        <v>98</v>
      </c>
      <c r="G373" s="3">
        <v>51</v>
      </c>
      <c r="H373" s="3">
        <v>0.63276836158192096</v>
      </c>
      <c r="I373" s="3">
        <v>0.29166666666666669</v>
      </c>
      <c r="J373" s="3">
        <v>0.52040816326530615</v>
      </c>
      <c r="K373" s="3">
        <v>9.6045197740112997E-2</v>
      </c>
    </row>
    <row r="374" spans="1:11" x14ac:dyDescent="0.25">
      <c r="A374" s="2">
        <v>45769.78631051752</v>
      </c>
      <c r="B374" s="3" t="s">
        <v>16</v>
      </c>
      <c r="C374" s="3" t="s">
        <v>18</v>
      </c>
      <c r="D374" s="3">
        <v>464</v>
      </c>
      <c r="E374" s="3">
        <v>376</v>
      </c>
      <c r="F374" s="3">
        <v>88</v>
      </c>
      <c r="G374" s="3">
        <v>48</v>
      </c>
      <c r="H374" s="3">
        <v>0.81034482758620685</v>
      </c>
      <c r="I374" s="3">
        <v>0.23404255319148939</v>
      </c>
      <c r="J374" s="3">
        <v>0.54545454545454541</v>
      </c>
      <c r="K374" s="3">
        <v>0.10344827586206901</v>
      </c>
    </row>
    <row r="375" spans="1:11" x14ac:dyDescent="0.25">
      <c r="A375" s="2">
        <v>45770.086811352237</v>
      </c>
      <c r="B375" s="3" t="s">
        <v>14</v>
      </c>
      <c r="C375" s="3" t="s">
        <v>12</v>
      </c>
      <c r="D375" s="3">
        <v>251</v>
      </c>
      <c r="E375" s="3">
        <v>168</v>
      </c>
      <c r="F375" s="3">
        <v>49</v>
      </c>
      <c r="G375" s="3">
        <v>18</v>
      </c>
      <c r="H375" s="3">
        <v>0.66932270916334657</v>
      </c>
      <c r="I375" s="3">
        <v>0.29166666666666669</v>
      </c>
      <c r="J375" s="3">
        <v>0.36734693877551022</v>
      </c>
      <c r="K375" s="3">
        <v>7.1713147410358571E-2</v>
      </c>
    </row>
    <row r="376" spans="1:11" x14ac:dyDescent="0.25">
      <c r="A376" s="2">
        <v>45770.387312186969</v>
      </c>
      <c r="B376" s="3" t="s">
        <v>16</v>
      </c>
      <c r="C376" s="3" t="s">
        <v>12</v>
      </c>
      <c r="D376" s="3">
        <v>455</v>
      </c>
      <c r="E376" s="3">
        <v>327</v>
      </c>
      <c r="F376" s="3">
        <v>78</v>
      </c>
      <c r="G376" s="3">
        <v>49</v>
      </c>
      <c r="H376" s="3">
        <v>0.71868131868131868</v>
      </c>
      <c r="I376" s="3">
        <v>0.2385321100917431</v>
      </c>
      <c r="J376" s="3">
        <v>0.62820512820512819</v>
      </c>
      <c r="K376" s="3">
        <v>0.1076923076923077</v>
      </c>
    </row>
    <row r="377" spans="1:11" x14ac:dyDescent="0.25">
      <c r="A377" s="2">
        <v>45770.687813021701</v>
      </c>
      <c r="B377" s="3" t="s">
        <v>11</v>
      </c>
      <c r="C377" s="3" t="s">
        <v>12</v>
      </c>
      <c r="D377" s="3">
        <v>441</v>
      </c>
      <c r="E377" s="3">
        <v>304</v>
      </c>
      <c r="F377" s="3">
        <v>114</v>
      </c>
      <c r="G377" s="3">
        <v>40</v>
      </c>
      <c r="H377" s="3">
        <v>0.68934240362811794</v>
      </c>
      <c r="I377" s="3">
        <v>0.375</v>
      </c>
      <c r="J377" s="3">
        <v>0.35087719298245612</v>
      </c>
      <c r="K377" s="3">
        <v>9.0702947845804988E-2</v>
      </c>
    </row>
    <row r="378" spans="1:11" x14ac:dyDescent="0.25">
      <c r="A378" s="2">
        <v>45770.988313856433</v>
      </c>
      <c r="B378" s="3" t="s">
        <v>17</v>
      </c>
      <c r="C378" s="3" t="s">
        <v>18</v>
      </c>
      <c r="D378" s="3">
        <v>638</v>
      </c>
      <c r="E378" s="3">
        <v>456</v>
      </c>
      <c r="F378" s="3">
        <v>142</v>
      </c>
      <c r="G378" s="3">
        <v>56</v>
      </c>
      <c r="H378" s="3">
        <v>0.71473354231974917</v>
      </c>
      <c r="I378" s="3">
        <v>0.31140350877192979</v>
      </c>
      <c r="J378" s="3">
        <v>0.39436619718309862</v>
      </c>
      <c r="K378" s="3">
        <v>8.7774294670846395E-2</v>
      </c>
    </row>
    <row r="379" spans="1:11" x14ac:dyDescent="0.25">
      <c r="A379" s="2">
        <v>45771.288814691143</v>
      </c>
      <c r="B379" s="3" t="s">
        <v>16</v>
      </c>
      <c r="C379" s="3" t="s">
        <v>12</v>
      </c>
      <c r="D379" s="3">
        <v>220</v>
      </c>
      <c r="E379" s="3">
        <v>131</v>
      </c>
      <c r="F379" s="3">
        <v>51</v>
      </c>
      <c r="G379" s="3">
        <v>21</v>
      </c>
      <c r="H379" s="3">
        <v>0.59545454545454546</v>
      </c>
      <c r="I379" s="3">
        <v>0.38931297709923662</v>
      </c>
      <c r="J379" s="3">
        <v>0.41176470588235292</v>
      </c>
      <c r="K379" s="3">
        <v>9.5454545454545459E-2</v>
      </c>
    </row>
    <row r="380" spans="1:11" x14ac:dyDescent="0.25">
      <c r="A380" s="2">
        <v>45771.589315525867</v>
      </c>
      <c r="B380" s="3" t="s">
        <v>17</v>
      </c>
      <c r="C380" s="3" t="s">
        <v>12</v>
      </c>
      <c r="D380" s="3">
        <v>197</v>
      </c>
      <c r="E380" s="3">
        <v>129</v>
      </c>
      <c r="F380" s="3">
        <v>56</v>
      </c>
      <c r="G380" s="3">
        <v>20</v>
      </c>
      <c r="H380" s="3">
        <v>0.65482233502538068</v>
      </c>
      <c r="I380" s="3">
        <v>0.43410852713178288</v>
      </c>
      <c r="J380" s="3">
        <v>0.35714285714285721</v>
      </c>
      <c r="K380" s="3">
        <v>0.10152284263959389</v>
      </c>
    </row>
    <row r="381" spans="1:11" x14ac:dyDescent="0.25">
      <c r="A381" s="2">
        <v>45771.889816360592</v>
      </c>
      <c r="B381" s="3" t="s">
        <v>11</v>
      </c>
      <c r="C381" s="3" t="s">
        <v>18</v>
      </c>
      <c r="D381" s="3">
        <v>356</v>
      </c>
      <c r="E381" s="3">
        <v>245</v>
      </c>
      <c r="F381" s="3">
        <v>50</v>
      </c>
      <c r="G381" s="3">
        <v>30</v>
      </c>
      <c r="H381" s="3">
        <v>0.6882022471910112</v>
      </c>
      <c r="I381" s="3">
        <v>0.2040816326530612</v>
      </c>
      <c r="J381" s="3">
        <v>0.6</v>
      </c>
      <c r="K381" s="3">
        <v>8.4269662921348312E-2</v>
      </c>
    </row>
    <row r="382" spans="1:11" x14ac:dyDescent="0.25">
      <c r="A382" s="2">
        <v>45772.190317195324</v>
      </c>
      <c r="B382" s="3" t="s">
        <v>16</v>
      </c>
      <c r="C382" s="3" t="s">
        <v>12</v>
      </c>
      <c r="D382" s="3">
        <v>299</v>
      </c>
      <c r="E382" s="3">
        <v>237</v>
      </c>
      <c r="F382" s="3">
        <v>37</v>
      </c>
      <c r="G382" s="3">
        <v>5</v>
      </c>
      <c r="H382" s="3">
        <v>0.79264214046822745</v>
      </c>
      <c r="I382" s="3">
        <v>0.15611814345991559</v>
      </c>
      <c r="J382" s="3">
        <v>0.13513513513513509</v>
      </c>
      <c r="K382" s="3">
        <v>1.6722408026755849E-2</v>
      </c>
    </row>
    <row r="383" spans="1:11" x14ac:dyDescent="0.25">
      <c r="A383" s="2">
        <v>45772.490818030048</v>
      </c>
      <c r="B383" s="3" t="s">
        <v>14</v>
      </c>
      <c r="C383" s="3" t="s">
        <v>18</v>
      </c>
      <c r="D383" s="3">
        <v>105</v>
      </c>
      <c r="E383" s="3">
        <v>64</v>
      </c>
      <c r="F383" s="3">
        <v>14</v>
      </c>
      <c r="G383" s="3">
        <v>10</v>
      </c>
      <c r="H383" s="3">
        <v>0.60952380952380958</v>
      </c>
      <c r="I383" s="3">
        <v>0.21875</v>
      </c>
      <c r="J383" s="3">
        <v>0.7142857142857143</v>
      </c>
      <c r="K383" s="3">
        <v>9.5238095238095233E-2</v>
      </c>
    </row>
    <row r="384" spans="1:11" x14ac:dyDescent="0.25">
      <c r="A384" s="2">
        <v>45772.791318864773</v>
      </c>
      <c r="B384" s="3" t="s">
        <v>15</v>
      </c>
      <c r="C384" s="3" t="s">
        <v>12</v>
      </c>
      <c r="D384" s="3">
        <v>600</v>
      </c>
      <c r="E384" s="3">
        <v>373</v>
      </c>
      <c r="F384" s="3">
        <v>119</v>
      </c>
      <c r="G384" s="3">
        <v>74</v>
      </c>
      <c r="H384" s="3">
        <v>0.6216666666666667</v>
      </c>
      <c r="I384" s="3">
        <v>0.31903485254691688</v>
      </c>
      <c r="J384" s="3">
        <v>0.62184873949579833</v>
      </c>
      <c r="K384" s="3">
        <v>0.12333333333333329</v>
      </c>
    </row>
    <row r="385" spans="1:11" x14ac:dyDescent="0.25">
      <c r="A385" s="2">
        <v>45773.09181969949</v>
      </c>
      <c r="B385" s="3" t="s">
        <v>17</v>
      </c>
      <c r="C385" s="3" t="s">
        <v>12</v>
      </c>
      <c r="D385" s="3">
        <v>89</v>
      </c>
      <c r="E385" s="3">
        <v>61</v>
      </c>
      <c r="F385" s="3">
        <v>18</v>
      </c>
      <c r="G385" s="3">
        <v>10</v>
      </c>
      <c r="H385" s="3">
        <v>0.6853932584269663</v>
      </c>
      <c r="I385" s="3">
        <v>0.29508196721311469</v>
      </c>
      <c r="J385" s="3">
        <v>0.55555555555555558</v>
      </c>
      <c r="K385" s="3">
        <v>0.11235955056179769</v>
      </c>
    </row>
    <row r="386" spans="1:11" x14ac:dyDescent="0.25">
      <c r="A386" s="2">
        <v>45773.392320534207</v>
      </c>
      <c r="B386" s="3" t="s">
        <v>14</v>
      </c>
      <c r="C386" s="3" t="s">
        <v>18</v>
      </c>
      <c r="D386" s="3">
        <v>457</v>
      </c>
      <c r="E386" s="3">
        <v>301</v>
      </c>
      <c r="F386" s="3">
        <v>71</v>
      </c>
      <c r="G386" s="3">
        <v>18</v>
      </c>
      <c r="H386" s="3">
        <v>0.65864332603938736</v>
      </c>
      <c r="I386" s="3">
        <v>0.23588039867109631</v>
      </c>
      <c r="J386" s="3">
        <v>0.25352112676056338</v>
      </c>
      <c r="K386" s="3">
        <v>3.9387308533916851E-2</v>
      </c>
    </row>
    <row r="387" spans="1:11" x14ac:dyDescent="0.25">
      <c r="A387" s="2">
        <v>45773.692821368953</v>
      </c>
      <c r="B387" s="3" t="s">
        <v>17</v>
      </c>
      <c r="C387" s="3" t="s">
        <v>12</v>
      </c>
      <c r="D387" s="3">
        <v>231</v>
      </c>
      <c r="E387" s="3">
        <v>141</v>
      </c>
      <c r="F387" s="3">
        <v>42</v>
      </c>
      <c r="G387" s="3">
        <v>17</v>
      </c>
      <c r="H387" s="3">
        <v>0.61038961038961037</v>
      </c>
      <c r="I387" s="3">
        <v>0.2978723404255319</v>
      </c>
      <c r="J387" s="3">
        <v>0.40476190476190482</v>
      </c>
      <c r="K387" s="3">
        <v>7.3593073593073599E-2</v>
      </c>
    </row>
    <row r="388" spans="1:11" x14ac:dyDescent="0.25">
      <c r="A388" s="2">
        <v>45773.993322203671</v>
      </c>
      <c r="B388" s="3" t="s">
        <v>11</v>
      </c>
      <c r="C388" s="3" t="s">
        <v>18</v>
      </c>
      <c r="D388" s="3">
        <v>128</v>
      </c>
      <c r="E388" s="3">
        <v>98</v>
      </c>
      <c r="F388" s="3">
        <v>43</v>
      </c>
      <c r="G388" s="3">
        <v>11</v>
      </c>
      <c r="H388" s="3">
        <v>0.765625</v>
      </c>
      <c r="I388" s="3">
        <v>0.43877551020408162</v>
      </c>
      <c r="J388" s="3">
        <v>0.2558139534883721</v>
      </c>
      <c r="K388" s="3">
        <v>8.59375E-2</v>
      </c>
    </row>
    <row r="389" spans="1:11" x14ac:dyDescent="0.25">
      <c r="A389" s="2">
        <v>45774.293823038388</v>
      </c>
      <c r="B389" s="3" t="s">
        <v>16</v>
      </c>
      <c r="C389" s="3" t="s">
        <v>12</v>
      </c>
      <c r="D389" s="3">
        <v>233</v>
      </c>
      <c r="E389" s="3">
        <v>141</v>
      </c>
      <c r="F389" s="3">
        <v>25</v>
      </c>
      <c r="G389" s="3">
        <v>12</v>
      </c>
      <c r="H389" s="3">
        <v>0.60515021459227469</v>
      </c>
      <c r="I389" s="3">
        <v>0.1773049645390071</v>
      </c>
      <c r="J389" s="3">
        <v>0.48</v>
      </c>
      <c r="K389" s="3">
        <v>5.1502145922746781E-2</v>
      </c>
    </row>
    <row r="390" spans="1:11" x14ac:dyDescent="0.25">
      <c r="A390" s="2">
        <v>45774.594323873112</v>
      </c>
      <c r="B390" s="3" t="s">
        <v>14</v>
      </c>
      <c r="C390" s="3" t="s">
        <v>12</v>
      </c>
      <c r="D390" s="3">
        <v>372</v>
      </c>
      <c r="E390" s="3">
        <v>219</v>
      </c>
      <c r="F390" s="3">
        <v>63</v>
      </c>
      <c r="G390" s="3">
        <v>17</v>
      </c>
      <c r="H390" s="3">
        <v>0.58870967741935487</v>
      </c>
      <c r="I390" s="3">
        <v>0.28767123287671231</v>
      </c>
      <c r="J390" s="3">
        <v>0.26984126984126983</v>
      </c>
      <c r="K390" s="3">
        <v>4.5698924731182797E-2</v>
      </c>
    </row>
    <row r="391" spans="1:11" x14ac:dyDescent="0.25">
      <c r="A391" s="2">
        <v>45774.894824707837</v>
      </c>
      <c r="B391" s="3" t="s">
        <v>17</v>
      </c>
      <c r="C391" s="3" t="s">
        <v>18</v>
      </c>
      <c r="D391" s="3">
        <v>129</v>
      </c>
      <c r="E391" s="3">
        <v>91</v>
      </c>
      <c r="F391" s="3">
        <v>17</v>
      </c>
      <c r="G391" s="3">
        <v>11</v>
      </c>
      <c r="H391" s="3">
        <v>0.70542635658914732</v>
      </c>
      <c r="I391" s="3">
        <v>0.18681318681318679</v>
      </c>
      <c r="J391" s="3">
        <v>0.6470588235294118</v>
      </c>
      <c r="K391" s="3">
        <v>8.5271317829457363E-2</v>
      </c>
    </row>
    <row r="392" spans="1:11" x14ac:dyDescent="0.25">
      <c r="A392" s="2">
        <v>45775.195325542569</v>
      </c>
      <c r="B392" s="3" t="s">
        <v>13</v>
      </c>
      <c r="C392" s="3" t="s">
        <v>18</v>
      </c>
      <c r="D392" s="3">
        <v>610</v>
      </c>
      <c r="E392" s="3">
        <v>334</v>
      </c>
      <c r="F392" s="3">
        <v>86</v>
      </c>
      <c r="G392" s="3">
        <v>52</v>
      </c>
      <c r="H392" s="3">
        <v>0.54754098360655734</v>
      </c>
      <c r="I392" s="3">
        <v>0.25748502994011968</v>
      </c>
      <c r="J392" s="3">
        <v>0.60465116279069764</v>
      </c>
      <c r="K392" s="3">
        <v>8.5245901639344257E-2</v>
      </c>
    </row>
    <row r="393" spans="1:11" x14ac:dyDescent="0.25">
      <c r="A393" s="2">
        <v>45775.495826377293</v>
      </c>
      <c r="B393" s="3" t="s">
        <v>11</v>
      </c>
      <c r="C393" s="3" t="s">
        <v>18</v>
      </c>
      <c r="D393" s="3">
        <v>139</v>
      </c>
      <c r="E393" s="3">
        <v>99</v>
      </c>
      <c r="F393" s="3">
        <v>28</v>
      </c>
      <c r="G393" s="3">
        <v>10</v>
      </c>
      <c r="H393" s="3">
        <v>0.71223021582733814</v>
      </c>
      <c r="I393" s="3">
        <v>0.28282828282828282</v>
      </c>
      <c r="J393" s="3">
        <v>0.35714285714285721</v>
      </c>
      <c r="K393" s="3">
        <v>7.1942446043165464E-2</v>
      </c>
    </row>
    <row r="394" spans="1:11" x14ac:dyDescent="0.25">
      <c r="A394" s="2">
        <v>45775.796327212011</v>
      </c>
      <c r="B394" s="3" t="s">
        <v>11</v>
      </c>
      <c r="C394" s="3" t="s">
        <v>12</v>
      </c>
      <c r="D394" s="3">
        <v>246</v>
      </c>
      <c r="E394" s="3">
        <v>159</v>
      </c>
      <c r="F394" s="3">
        <v>59</v>
      </c>
      <c r="G394" s="3">
        <v>32</v>
      </c>
      <c r="H394" s="3">
        <v>0.64634146341463417</v>
      </c>
      <c r="I394" s="3">
        <v>0.37106918238993708</v>
      </c>
      <c r="J394" s="3">
        <v>0.5423728813559322</v>
      </c>
      <c r="K394" s="3">
        <v>0.13008130081300809</v>
      </c>
    </row>
    <row r="395" spans="1:11" x14ac:dyDescent="0.25">
      <c r="A395" s="2">
        <v>45776.096828046742</v>
      </c>
      <c r="B395" s="3" t="s">
        <v>17</v>
      </c>
      <c r="C395" s="3" t="s">
        <v>18</v>
      </c>
      <c r="D395" s="3">
        <v>281</v>
      </c>
      <c r="E395" s="3">
        <v>200</v>
      </c>
      <c r="F395" s="3">
        <v>72</v>
      </c>
      <c r="G395" s="3">
        <v>35</v>
      </c>
      <c r="H395" s="3">
        <v>0.71174377224199292</v>
      </c>
      <c r="I395" s="3">
        <v>0.36</v>
      </c>
      <c r="J395" s="3">
        <v>0.4861111111111111</v>
      </c>
      <c r="K395" s="3">
        <v>0.1245551601423488</v>
      </c>
    </row>
    <row r="396" spans="1:11" x14ac:dyDescent="0.25">
      <c r="A396" s="2">
        <v>45776.39732888146</v>
      </c>
      <c r="B396" s="3" t="s">
        <v>11</v>
      </c>
      <c r="C396" s="3" t="s">
        <v>12</v>
      </c>
      <c r="D396" s="3">
        <v>225</v>
      </c>
      <c r="E396" s="3">
        <v>136</v>
      </c>
      <c r="F396" s="3">
        <v>40</v>
      </c>
      <c r="G396" s="3">
        <v>25</v>
      </c>
      <c r="H396" s="3">
        <v>0.60444444444444445</v>
      </c>
      <c r="I396" s="3">
        <v>0.29411764705882348</v>
      </c>
      <c r="J396" s="3">
        <v>0.625</v>
      </c>
      <c r="K396" s="3">
        <v>0.1111111111111111</v>
      </c>
    </row>
    <row r="397" spans="1:11" x14ac:dyDescent="0.25">
      <c r="A397" s="2">
        <v>45776.697829716191</v>
      </c>
      <c r="B397" s="3" t="s">
        <v>13</v>
      </c>
      <c r="C397" s="3" t="s">
        <v>12</v>
      </c>
      <c r="D397" s="3">
        <v>518</v>
      </c>
      <c r="E397" s="3">
        <v>318</v>
      </c>
      <c r="F397" s="3">
        <v>72</v>
      </c>
      <c r="G397" s="3">
        <v>48</v>
      </c>
      <c r="H397" s="3">
        <v>0.61389961389961389</v>
      </c>
      <c r="I397" s="3">
        <v>0.22641509433962259</v>
      </c>
      <c r="J397" s="3">
        <v>0.66666666666666663</v>
      </c>
      <c r="K397" s="3">
        <v>9.2664092664092659E-2</v>
      </c>
    </row>
    <row r="398" spans="1:11" x14ac:dyDescent="0.25">
      <c r="A398" s="2">
        <v>45776.998330550923</v>
      </c>
      <c r="B398" s="3" t="s">
        <v>17</v>
      </c>
      <c r="C398" s="3" t="s">
        <v>18</v>
      </c>
      <c r="D398" s="3">
        <v>321</v>
      </c>
      <c r="E398" s="3">
        <v>182</v>
      </c>
      <c r="F398" s="3">
        <v>65</v>
      </c>
      <c r="G398" s="3">
        <v>25</v>
      </c>
      <c r="H398" s="3">
        <v>0.5669781931464174</v>
      </c>
      <c r="I398" s="3">
        <v>0.35714285714285721</v>
      </c>
      <c r="J398" s="3">
        <v>0.38461538461538458</v>
      </c>
      <c r="K398" s="3">
        <v>7.7881619937694699E-2</v>
      </c>
    </row>
    <row r="399" spans="1:11" x14ac:dyDescent="0.25">
      <c r="A399" s="2">
        <v>45777.298831385633</v>
      </c>
      <c r="B399" s="3" t="s">
        <v>11</v>
      </c>
      <c r="C399" s="3" t="s">
        <v>12</v>
      </c>
      <c r="D399" s="3">
        <v>640</v>
      </c>
      <c r="E399" s="3">
        <v>370</v>
      </c>
      <c r="F399" s="3">
        <v>102</v>
      </c>
      <c r="G399" s="3">
        <v>49</v>
      </c>
      <c r="H399" s="3">
        <v>0.578125</v>
      </c>
      <c r="I399" s="3">
        <v>0.27567567567567569</v>
      </c>
      <c r="J399" s="3">
        <v>0.48039215686274511</v>
      </c>
      <c r="K399" s="3">
        <v>7.6562500000000006E-2</v>
      </c>
    </row>
    <row r="400" spans="1:11" x14ac:dyDescent="0.25">
      <c r="A400" s="2">
        <v>45777.599332220358</v>
      </c>
      <c r="B400" s="3" t="s">
        <v>14</v>
      </c>
      <c r="C400" s="3" t="s">
        <v>19</v>
      </c>
      <c r="D400" s="3">
        <v>562</v>
      </c>
      <c r="E400" s="3">
        <v>432</v>
      </c>
      <c r="F400" s="3">
        <v>125</v>
      </c>
      <c r="G400" s="3">
        <v>42</v>
      </c>
      <c r="H400" s="3">
        <v>0.76868327402135228</v>
      </c>
      <c r="I400" s="3">
        <v>0.28935185185185192</v>
      </c>
      <c r="J400" s="3">
        <v>0.33600000000000002</v>
      </c>
      <c r="K400" s="3">
        <v>7.4733096085409248E-2</v>
      </c>
    </row>
    <row r="401" spans="1:11" x14ac:dyDescent="0.25">
      <c r="A401" s="2">
        <v>45777.899833055082</v>
      </c>
      <c r="B401" s="3" t="s">
        <v>14</v>
      </c>
      <c r="C401" s="3" t="s">
        <v>12</v>
      </c>
      <c r="D401" s="3">
        <v>187</v>
      </c>
      <c r="E401" s="3">
        <v>150</v>
      </c>
      <c r="F401" s="3">
        <v>42</v>
      </c>
      <c r="G401" s="3">
        <v>25</v>
      </c>
      <c r="H401" s="3">
        <v>0.80213903743315507</v>
      </c>
      <c r="I401" s="3">
        <v>0.28000000000000003</v>
      </c>
      <c r="J401" s="3">
        <v>0.59523809523809523</v>
      </c>
      <c r="K401" s="3">
        <v>0.13368983957219249</v>
      </c>
    </row>
    <row r="402" spans="1:11" x14ac:dyDescent="0.25">
      <c r="A402" s="2">
        <v>45778.200333889807</v>
      </c>
      <c r="B402" s="3" t="s">
        <v>16</v>
      </c>
      <c r="C402" s="3" t="s">
        <v>12</v>
      </c>
      <c r="D402" s="3">
        <v>305</v>
      </c>
      <c r="E402" s="3">
        <v>191</v>
      </c>
      <c r="F402" s="3">
        <v>56</v>
      </c>
      <c r="G402" s="3">
        <v>14</v>
      </c>
      <c r="H402" s="3">
        <v>0.6262295081967213</v>
      </c>
      <c r="I402" s="3">
        <v>0.29319371727748689</v>
      </c>
      <c r="J402" s="3">
        <v>0.25</v>
      </c>
      <c r="K402" s="3">
        <v>4.5901639344262293E-2</v>
      </c>
    </row>
    <row r="403" spans="1:11" x14ac:dyDescent="0.25">
      <c r="A403" s="2">
        <v>45778.500834724538</v>
      </c>
      <c r="B403" s="3" t="s">
        <v>17</v>
      </c>
      <c r="C403" s="3" t="s">
        <v>12</v>
      </c>
      <c r="D403" s="3">
        <v>511</v>
      </c>
      <c r="E403" s="3">
        <v>390</v>
      </c>
      <c r="F403" s="3">
        <v>152</v>
      </c>
      <c r="G403" s="3">
        <v>85</v>
      </c>
      <c r="H403" s="3">
        <v>0.76320939334637961</v>
      </c>
      <c r="I403" s="3">
        <v>0.38974358974358969</v>
      </c>
      <c r="J403" s="3">
        <v>0.55921052631578949</v>
      </c>
      <c r="K403" s="3">
        <v>0.16634050880626219</v>
      </c>
    </row>
    <row r="404" spans="1:11" x14ac:dyDescent="0.25">
      <c r="A404" s="2">
        <v>45778.801335559263</v>
      </c>
      <c r="B404" s="3" t="s">
        <v>15</v>
      </c>
      <c r="C404" s="3" t="s">
        <v>18</v>
      </c>
      <c r="D404" s="3">
        <v>498</v>
      </c>
      <c r="E404" s="3">
        <v>385</v>
      </c>
      <c r="F404" s="3">
        <v>74</v>
      </c>
      <c r="G404" s="3">
        <v>29</v>
      </c>
      <c r="H404" s="3">
        <v>0.7730923694779116</v>
      </c>
      <c r="I404" s="3">
        <v>0.19220779220779219</v>
      </c>
      <c r="J404" s="3">
        <v>0.39189189189189189</v>
      </c>
      <c r="K404" s="3">
        <v>5.8232931726907633E-2</v>
      </c>
    </row>
    <row r="405" spans="1:11" x14ac:dyDescent="0.25">
      <c r="A405" s="2">
        <v>45779.10183639398</v>
      </c>
      <c r="B405" s="3" t="s">
        <v>17</v>
      </c>
      <c r="C405" s="3" t="s">
        <v>18</v>
      </c>
      <c r="D405" s="3">
        <v>534</v>
      </c>
      <c r="E405" s="3">
        <v>412</v>
      </c>
      <c r="F405" s="3">
        <v>108</v>
      </c>
      <c r="G405" s="3">
        <v>29</v>
      </c>
      <c r="H405" s="3">
        <v>0.77153558052434457</v>
      </c>
      <c r="I405" s="3">
        <v>0.26213592233009708</v>
      </c>
      <c r="J405" s="3">
        <v>0.26851851851851849</v>
      </c>
      <c r="K405" s="3">
        <v>5.4307116104868908E-2</v>
      </c>
    </row>
    <row r="406" spans="1:11" x14ac:dyDescent="0.25">
      <c r="A406" s="2">
        <v>45779.402337228697</v>
      </c>
      <c r="B406" s="3" t="s">
        <v>11</v>
      </c>
      <c r="C406" s="3" t="s">
        <v>18</v>
      </c>
      <c r="D406" s="3">
        <v>239</v>
      </c>
      <c r="E406" s="3">
        <v>146</v>
      </c>
      <c r="F406" s="3">
        <v>55</v>
      </c>
      <c r="G406" s="3">
        <v>24</v>
      </c>
      <c r="H406" s="3">
        <v>0.61087866108786615</v>
      </c>
      <c r="I406" s="3">
        <v>0.37671232876712329</v>
      </c>
      <c r="J406" s="3">
        <v>0.43636363636363629</v>
      </c>
      <c r="K406" s="3">
        <v>0.100418410041841</v>
      </c>
    </row>
    <row r="407" spans="1:11" x14ac:dyDescent="0.25">
      <c r="A407" s="2">
        <v>45779.702838063437</v>
      </c>
      <c r="B407" s="3" t="s">
        <v>17</v>
      </c>
      <c r="C407" s="3" t="s">
        <v>18</v>
      </c>
      <c r="D407" s="3">
        <v>602</v>
      </c>
      <c r="E407" s="3">
        <v>480</v>
      </c>
      <c r="F407" s="3">
        <v>198</v>
      </c>
      <c r="G407" s="3">
        <v>96</v>
      </c>
      <c r="H407" s="3">
        <v>0.79734219269102991</v>
      </c>
      <c r="I407" s="3">
        <v>0.41249999999999998</v>
      </c>
      <c r="J407" s="3">
        <v>0.48484848484848492</v>
      </c>
      <c r="K407" s="3">
        <v>0.159468438538206</v>
      </c>
    </row>
    <row r="408" spans="1:11" x14ac:dyDescent="0.25">
      <c r="A408" s="2">
        <v>45780.003338898161</v>
      </c>
      <c r="B408" s="3" t="s">
        <v>11</v>
      </c>
      <c r="C408" s="3" t="s">
        <v>18</v>
      </c>
      <c r="D408" s="3">
        <v>156</v>
      </c>
      <c r="E408" s="3">
        <v>114</v>
      </c>
      <c r="F408" s="3">
        <v>15</v>
      </c>
      <c r="G408" s="3">
        <v>7</v>
      </c>
      <c r="H408" s="3">
        <v>0.73076923076923073</v>
      </c>
      <c r="I408" s="3">
        <v>0.13157894736842099</v>
      </c>
      <c r="J408" s="3">
        <v>0.46666666666666667</v>
      </c>
      <c r="K408" s="3">
        <v>4.4871794871794872E-2</v>
      </c>
    </row>
    <row r="409" spans="1:11" x14ac:dyDescent="0.25">
      <c r="A409" s="2">
        <v>45780.303839732893</v>
      </c>
      <c r="B409" s="3" t="s">
        <v>16</v>
      </c>
      <c r="C409" s="3" t="s">
        <v>18</v>
      </c>
      <c r="D409" s="3">
        <v>588</v>
      </c>
      <c r="E409" s="3">
        <v>377</v>
      </c>
      <c r="F409" s="3">
        <v>111</v>
      </c>
      <c r="G409" s="3">
        <v>34</v>
      </c>
      <c r="H409" s="3">
        <v>0.641156462585034</v>
      </c>
      <c r="I409" s="3">
        <v>0.29442970822281173</v>
      </c>
      <c r="J409" s="3">
        <v>0.30630630630630629</v>
      </c>
      <c r="K409" s="3">
        <v>5.7823129251700682E-2</v>
      </c>
    </row>
    <row r="410" spans="1:11" x14ac:dyDescent="0.25">
      <c r="A410" s="2">
        <v>45780.604340567603</v>
      </c>
      <c r="B410" s="3" t="s">
        <v>17</v>
      </c>
      <c r="C410" s="3" t="s">
        <v>12</v>
      </c>
      <c r="D410" s="3">
        <v>520</v>
      </c>
      <c r="E410" s="3">
        <v>318</v>
      </c>
      <c r="F410" s="3">
        <v>100</v>
      </c>
      <c r="G410" s="3">
        <v>39</v>
      </c>
      <c r="H410" s="3">
        <v>0.61153846153846159</v>
      </c>
      <c r="I410" s="3">
        <v>0.31446540880503138</v>
      </c>
      <c r="J410" s="3">
        <v>0.39</v>
      </c>
      <c r="K410" s="3">
        <v>7.4999999999999997E-2</v>
      </c>
    </row>
    <row r="411" spans="1:11" x14ac:dyDescent="0.25">
      <c r="A411" s="2">
        <v>45780.904841402327</v>
      </c>
      <c r="B411" s="3" t="s">
        <v>16</v>
      </c>
      <c r="C411" s="3" t="s">
        <v>12</v>
      </c>
      <c r="D411" s="3">
        <v>333</v>
      </c>
      <c r="E411" s="3">
        <v>240</v>
      </c>
      <c r="F411" s="3">
        <v>71</v>
      </c>
      <c r="G411" s="3">
        <v>20</v>
      </c>
      <c r="H411" s="3">
        <v>0.72072072072072069</v>
      </c>
      <c r="I411" s="3">
        <v>0.29583333333333328</v>
      </c>
      <c r="J411" s="3">
        <v>0.28169014084507038</v>
      </c>
      <c r="K411" s="3">
        <v>6.006006006006006E-2</v>
      </c>
    </row>
    <row r="412" spans="1:11" x14ac:dyDescent="0.25">
      <c r="A412" s="2">
        <v>45781.205342237059</v>
      </c>
      <c r="B412" s="3" t="s">
        <v>11</v>
      </c>
      <c r="C412" s="3" t="s">
        <v>12</v>
      </c>
      <c r="D412" s="3">
        <v>399</v>
      </c>
      <c r="E412" s="3">
        <v>260</v>
      </c>
      <c r="F412" s="3">
        <v>102</v>
      </c>
      <c r="G412" s="3">
        <v>49</v>
      </c>
      <c r="H412" s="3">
        <v>0.65162907268170422</v>
      </c>
      <c r="I412" s="3">
        <v>0.3923076923076923</v>
      </c>
      <c r="J412" s="3">
        <v>0.48039215686274511</v>
      </c>
      <c r="K412" s="3">
        <v>0.1228070175438596</v>
      </c>
    </row>
    <row r="413" spans="1:11" x14ac:dyDescent="0.25">
      <c r="A413" s="2">
        <v>45781.505843071784</v>
      </c>
      <c r="B413" s="3" t="s">
        <v>13</v>
      </c>
      <c r="C413" s="3" t="s">
        <v>19</v>
      </c>
      <c r="D413" s="3">
        <v>342</v>
      </c>
      <c r="E413" s="3">
        <v>204</v>
      </c>
      <c r="F413" s="3">
        <v>85</v>
      </c>
      <c r="G413" s="3">
        <v>48</v>
      </c>
      <c r="H413" s="3">
        <v>0.59649122807017541</v>
      </c>
      <c r="I413" s="3">
        <v>0.41666666666666669</v>
      </c>
      <c r="J413" s="3">
        <v>0.56470588235294117</v>
      </c>
      <c r="K413" s="3">
        <v>0.14035087719298239</v>
      </c>
    </row>
    <row r="414" spans="1:11" x14ac:dyDescent="0.25">
      <c r="A414" s="2">
        <v>45781.806343906508</v>
      </c>
      <c r="B414" s="3" t="s">
        <v>13</v>
      </c>
      <c r="C414" s="3" t="s">
        <v>19</v>
      </c>
      <c r="D414" s="3">
        <v>633</v>
      </c>
      <c r="E414" s="3">
        <v>424</v>
      </c>
      <c r="F414" s="3">
        <v>77</v>
      </c>
      <c r="G414" s="3">
        <v>32</v>
      </c>
      <c r="H414" s="3">
        <v>0.66982622432859396</v>
      </c>
      <c r="I414" s="3">
        <v>0.18160377358490559</v>
      </c>
      <c r="J414" s="3">
        <v>0.41558441558441561</v>
      </c>
      <c r="K414" s="3">
        <v>5.0552922590837282E-2</v>
      </c>
    </row>
    <row r="415" spans="1:11" x14ac:dyDescent="0.25">
      <c r="A415" s="2">
        <v>45782.106844741233</v>
      </c>
      <c r="B415" s="3" t="s">
        <v>15</v>
      </c>
      <c r="C415" s="3" t="s">
        <v>12</v>
      </c>
      <c r="D415" s="3">
        <v>453</v>
      </c>
      <c r="E415" s="3">
        <v>315</v>
      </c>
      <c r="F415" s="3">
        <v>135</v>
      </c>
      <c r="G415" s="3">
        <v>30</v>
      </c>
      <c r="H415" s="3">
        <v>0.69536423841059603</v>
      </c>
      <c r="I415" s="3">
        <v>0.42857142857142849</v>
      </c>
      <c r="J415" s="3">
        <v>0.22222222222222221</v>
      </c>
      <c r="K415" s="3">
        <v>6.6225165562913912E-2</v>
      </c>
    </row>
    <row r="416" spans="1:11" x14ac:dyDescent="0.25">
      <c r="A416" s="2">
        <v>45782.40734557595</v>
      </c>
      <c r="B416" s="3" t="s">
        <v>15</v>
      </c>
      <c r="C416" s="3" t="s">
        <v>18</v>
      </c>
      <c r="D416" s="3">
        <v>246</v>
      </c>
      <c r="E416" s="3">
        <v>154</v>
      </c>
      <c r="F416" s="3">
        <v>45</v>
      </c>
      <c r="G416" s="3">
        <v>20</v>
      </c>
      <c r="H416" s="3">
        <v>0.62601626016260159</v>
      </c>
      <c r="I416" s="3">
        <v>0.29220779220779219</v>
      </c>
      <c r="J416" s="3">
        <v>0.44444444444444442</v>
      </c>
      <c r="K416" s="3">
        <v>8.1300813008130079E-2</v>
      </c>
    </row>
    <row r="417" spans="1:11" x14ac:dyDescent="0.25">
      <c r="A417" s="2">
        <v>45782.707846410682</v>
      </c>
      <c r="B417" s="3" t="s">
        <v>11</v>
      </c>
      <c r="C417" s="3" t="s">
        <v>19</v>
      </c>
      <c r="D417" s="3">
        <v>538</v>
      </c>
      <c r="E417" s="3">
        <v>337</v>
      </c>
      <c r="F417" s="3">
        <v>105</v>
      </c>
      <c r="G417" s="3">
        <v>48</v>
      </c>
      <c r="H417" s="3">
        <v>0.62639405204460963</v>
      </c>
      <c r="I417" s="3">
        <v>0.31157270029673589</v>
      </c>
      <c r="J417" s="3">
        <v>0.45714285714285707</v>
      </c>
      <c r="K417" s="3">
        <v>8.9219330855018583E-2</v>
      </c>
    </row>
    <row r="418" spans="1:11" x14ac:dyDescent="0.25">
      <c r="A418" s="2">
        <v>45783.008347245413</v>
      </c>
      <c r="B418" s="3" t="s">
        <v>11</v>
      </c>
      <c r="C418" s="3" t="s">
        <v>12</v>
      </c>
      <c r="D418" s="3">
        <v>359</v>
      </c>
      <c r="E418" s="3">
        <v>253</v>
      </c>
      <c r="F418" s="3">
        <v>102</v>
      </c>
      <c r="G418" s="3">
        <v>38</v>
      </c>
      <c r="H418" s="3">
        <v>0.70473537604456826</v>
      </c>
      <c r="I418" s="3">
        <v>0.40316205533596838</v>
      </c>
      <c r="J418" s="3">
        <v>0.37254901960784309</v>
      </c>
      <c r="K418" s="3">
        <v>0.10584958217270191</v>
      </c>
    </row>
    <row r="419" spans="1:11" x14ac:dyDescent="0.25">
      <c r="A419" s="2">
        <v>45783.308848080131</v>
      </c>
      <c r="B419" s="3" t="s">
        <v>11</v>
      </c>
      <c r="C419" s="3" t="s">
        <v>12</v>
      </c>
      <c r="D419" s="3">
        <v>381</v>
      </c>
      <c r="E419" s="3">
        <v>281</v>
      </c>
      <c r="F419" s="3">
        <v>76</v>
      </c>
      <c r="G419" s="3">
        <v>26</v>
      </c>
      <c r="H419" s="3">
        <v>0.73753280839895008</v>
      </c>
      <c r="I419" s="3">
        <v>0.27046263345195731</v>
      </c>
      <c r="J419" s="3">
        <v>0.34210526315789469</v>
      </c>
      <c r="K419" s="3">
        <v>6.8241469816272965E-2</v>
      </c>
    </row>
    <row r="420" spans="1:11" x14ac:dyDescent="0.25">
      <c r="A420" s="2">
        <v>45783.609348914848</v>
      </c>
      <c r="B420" s="3" t="s">
        <v>14</v>
      </c>
      <c r="C420" s="3" t="s">
        <v>18</v>
      </c>
      <c r="D420" s="3">
        <v>610</v>
      </c>
      <c r="E420" s="3">
        <v>400</v>
      </c>
      <c r="F420" s="3">
        <v>166</v>
      </c>
      <c r="G420" s="3">
        <v>78</v>
      </c>
      <c r="H420" s="3">
        <v>0.65573770491803274</v>
      </c>
      <c r="I420" s="3">
        <v>0.41499999999999998</v>
      </c>
      <c r="J420" s="3">
        <v>0.46987951807228923</v>
      </c>
      <c r="K420" s="3">
        <v>0.12786885245901641</v>
      </c>
    </row>
    <row r="421" spans="1:11" x14ac:dyDescent="0.25">
      <c r="A421" s="2">
        <v>45783.909849749572</v>
      </c>
      <c r="B421" s="3" t="s">
        <v>14</v>
      </c>
      <c r="C421" s="3" t="s">
        <v>12</v>
      </c>
      <c r="D421" s="3">
        <v>297</v>
      </c>
      <c r="E421" s="3">
        <v>219</v>
      </c>
      <c r="F421" s="3">
        <v>62</v>
      </c>
      <c r="G421" s="3">
        <v>32</v>
      </c>
      <c r="H421" s="3">
        <v>0.73737373737373735</v>
      </c>
      <c r="I421" s="3">
        <v>0.28310502283105021</v>
      </c>
      <c r="J421" s="3">
        <v>0.5161290322580645</v>
      </c>
      <c r="K421" s="3">
        <v>0.1077441077441077</v>
      </c>
    </row>
    <row r="422" spans="1:11" x14ac:dyDescent="0.25">
      <c r="A422" s="2">
        <v>45784.210350584297</v>
      </c>
      <c r="B422" s="3" t="s">
        <v>17</v>
      </c>
      <c r="C422" s="3" t="s">
        <v>18</v>
      </c>
      <c r="D422" s="3">
        <v>181</v>
      </c>
      <c r="E422" s="3">
        <v>148</v>
      </c>
      <c r="F422" s="3">
        <v>40</v>
      </c>
      <c r="G422" s="3">
        <v>12</v>
      </c>
      <c r="H422" s="3">
        <v>0.81767955801104975</v>
      </c>
      <c r="I422" s="3">
        <v>0.27027027027027029</v>
      </c>
      <c r="J422" s="3">
        <v>0.3</v>
      </c>
      <c r="K422" s="3">
        <v>6.6298342541436461E-2</v>
      </c>
    </row>
    <row r="423" spans="1:11" x14ac:dyDescent="0.25">
      <c r="A423" s="2">
        <v>45784.510851419029</v>
      </c>
      <c r="B423" s="3" t="s">
        <v>17</v>
      </c>
      <c r="C423" s="3" t="s">
        <v>12</v>
      </c>
      <c r="D423" s="3">
        <v>633</v>
      </c>
      <c r="E423" s="3">
        <v>481</v>
      </c>
      <c r="F423" s="3">
        <v>114</v>
      </c>
      <c r="G423" s="3">
        <v>53</v>
      </c>
      <c r="H423" s="3">
        <v>0.75987361769352291</v>
      </c>
      <c r="I423" s="3">
        <v>0.23700623700623699</v>
      </c>
      <c r="J423" s="3">
        <v>0.46491228070175439</v>
      </c>
      <c r="K423" s="3">
        <v>8.3728278041074244E-2</v>
      </c>
    </row>
    <row r="424" spans="1:11" x14ac:dyDescent="0.25">
      <c r="A424" s="2">
        <v>45784.811352253753</v>
      </c>
      <c r="B424" s="3" t="s">
        <v>16</v>
      </c>
      <c r="C424" s="3" t="s">
        <v>19</v>
      </c>
      <c r="D424" s="3">
        <v>367</v>
      </c>
      <c r="E424" s="3">
        <v>287</v>
      </c>
      <c r="F424" s="3">
        <v>108</v>
      </c>
      <c r="G424" s="3">
        <v>42</v>
      </c>
      <c r="H424" s="3">
        <v>0.78201634877384196</v>
      </c>
      <c r="I424" s="3">
        <v>0.37630662020905931</v>
      </c>
      <c r="J424" s="3">
        <v>0.3888888888888889</v>
      </c>
      <c r="K424" s="3">
        <v>0.11444141689373299</v>
      </c>
    </row>
    <row r="425" spans="1:11" x14ac:dyDescent="0.25">
      <c r="A425" s="2">
        <v>45785.111853088471</v>
      </c>
      <c r="B425" s="3" t="s">
        <v>15</v>
      </c>
      <c r="C425" s="3" t="s">
        <v>19</v>
      </c>
      <c r="D425" s="3">
        <v>246</v>
      </c>
      <c r="E425" s="3">
        <v>185</v>
      </c>
      <c r="F425" s="3">
        <v>55</v>
      </c>
      <c r="G425" s="3">
        <v>22</v>
      </c>
      <c r="H425" s="3">
        <v>0.75203252032520329</v>
      </c>
      <c r="I425" s="3">
        <v>0.29729729729729731</v>
      </c>
      <c r="J425" s="3">
        <v>0.4</v>
      </c>
      <c r="K425" s="3">
        <v>8.943089430894309E-2</v>
      </c>
    </row>
    <row r="426" spans="1:11" x14ac:dyDescent="0.25">
      <c r="A426" s="2">
        <v>45785.412353923202</v>
      </c>
      <c r="B426" s="3" t="s">
        <v>16</v>
      </c>
      <c r="C426" s="3" t="s">
        <v>19</v>
      </c>
      <c r="D426" s="3">
        <v>115</v>
      </c>
      <c r="E426" s="3">
        <v>92</v>
      </c>
      <c r="F426" s="3">
        <v>43</v>
      </c>
      <c r="G426" s="3">
        <v>22</v>
      </c>
      <c r="H426" s="3">
        <v>0.8</v>
      </c>
      <c r="I426" s="3">
        <v>0.46739130434782611</v>
      </c>
      <c r="J426" s="3">
        <v>0.51162790697674421</v>
      </c>
      <c r="K426" s="3">
        <v>0.19130434782608699</v>
      </c>
    </row>
    <row r="427" spans="1:11" x14ac:dyDescent="0.25">
      <c r="A427" s="2">
        <v>45785.712854757927</v>
      </c>
      <c r="B427" s="3" t="s">
        <v>15</v>
      </c>
      <c r="C427" s="3" t="s">
        <v>12</v>
      </c>
      <c r="D427" s="3">
        <v>432</v>
      </c>
      <c r="E427" s="3">
        <v>252</v>
      </c>
      <c r="F427" s="3">
        <v>71</v>
      </c>
      <c r="G427" s="3">
        <v>47</v>
      </c>
      <c r="H427" s="3">
        <v>0.58333333333333337</v>
      </c>
      <c r="I427" s="3">
        <v>0.28174603174603169</v>
      </c>
      <c r="J427" s="3">
        <v>0.6619718309859155</v>
      </c>
      <c r="K427" s="3">
        <v>0.10879629629629629</v>
      </c>
    </row>
    <row r="428" spans="1:11" x14ac:dyDescent="0.25">
      <c r="A428" s="2">
        <v>45786.013355592651</v>
      </c>
      <c r="B428" s="3" t="s">
        <v>11</v>
      </c>
      <c r="C428" s="3" t="s">
        <v>18</v>
      </c>
      <c r="D428" s="3">
        <v>152</v>
      </c>
      <c r="E428" s="3">
        <v>95</v>
      </c>
      <c r="F428" s="3">
        <v>37</v>
      </c>
      <c r="G428" s="3">
        <v>24</v>
      </c>
      <c r="H428" s="3">
        <v>0.625</v>
      </c>
      <c r="I428" s="3">
        <v>0.38947368421052631</v>
      </c>
      <c r="J428" s="3">
        <v>0.64864864864864868</v>
      </c>
      <c r="K428" s="3">
        <v>0.15789473684210531</v>
      </c>
    </row>
    <row r="429" spans="1:11" x14ac:dyDescent="0.25">
      <c r="A429" s="2">
        <v>45786.313856427383</v>
      </c>
      <c r="B429" s="3" t="s">
        <v>17</v>
      </c>
      <c r="C429" s="3" t="s">
        <v>18</v>
      </c>
      <c r="D429" s="3">
        <v>432</v>
      </c>
      <c r="E429" s="3">
        <v>297</v>
      </c>
      <c r="F429" s="3">
        <v>60</v>
      </c>
      <c r="G429" s="3">
        <v>26</v>
      </c>
      <c r="H429" s="3">
        <v>0.6875</v>
      </c>
      <c r="I429" s="3">
        <v>0.20202020202020199</v>
      </c>
      <c r="J429" s="3">
        <v>0.43333333333333329</v>
      </c>
      <c r="K429" s="3">
        <v>6.0185185185185182E-2</v>
      </c>
    </row>
    <row r="430" spans="1:11" x14ac:dyDescent="0.25">
      <c r="A430" s="2">
        <v>45786.614357262093</v>
      </c>
      <c r="B430" s="3" t="s">
        <v>11</v>
      </c>
      <c r="C430" s="3" t="s">
        <v>12</v>
      </c>
      <c r="D430" s="3">
        <v>149</v>
      </c>
      <c r="E430" s="3">
        <v>108</v>
      </c>
      <c r="F430" s="3">
        <v>25</v>
      </c>
      <c r="G430" s="3">
        <v>14</v>
      </c>
      <c r="H430" s="3">
        <v>0.72483221476510062</v>
      </c>
      <c r="I430" s="3">
        <v>0.23148148148148151</v>
      </c>
      <c r="J430" s="3">
        <v>0.56000000000000005</v>
      </c>
      <c r="K430" s="3">
        <v>9.3959731543624164E-2</v>
      </c>
    </row>
    <row r="431" spans="1:11" x14ac:dyDescent="0.25">
      <c r="A431" s="2">
        <v>45786.914858096818</v>
      </c>
      <c r="B431" s="3" t="s">
        <v>16</v>
      </c>
      <c r="C431" s="3" t="s">
        <v>18</v>
      </c>
      <c r="D431" s="3">
        <v>504</v>
      </c>
      <c r="E431" s="3">
        <v>313</v>
      </c>
      <c r="F431" s="3">
        <v>65</v>
      </c>
      <c r="G431" s="3">
        <v>34</v>
      </c>
      <c r="H431" s="3">
        <v>0.62103174603174605</v>
      </c>
      <c r="I431" s="3">
        <v>0.207667731629393</v>
      </c>
      <c r="J431" s="3">
        <v>0.52307692307692311</v>
      </c>
      <c r="K431" s="3">
        <v>6.7460317460317457E-2</v>
      </c>
    </row>
    <row r="432" spans="1:11" x14ac:dyDescent="0.25">
      <c r="A432" s="2">
        <v>45787.215358931549</v>
      </c>
      <c r="B432" s="3" t="s">
        <v>16</v>
      </c>
      <c r="C432" s="3" t="s">
        <v>12</v>
      </c>
      <c r="D432" s="3">
        <v>640</v>
      </c>
      <c r="E432" s="3">
        <v>385</v>
      </c>
      <c r="F432" s="3">
        <v>88</v>
      </c>
      <c r="G432" s="3">
        <v>56</v>
      </c>
      <c r="H432" s="3">
        <v>0.6015625</v>
      </c>
      <c r="I432" s="3">
        <v>0.22857142857142859</v>
      </c>
      <c r="J432" s="3">
        <v>0.63636363636363635</v>
      </c>
      <c r="K432" s="3">
        <v>8.7499999999999994E-2</v>
      </c>
    </row>
    <row r="433" spans="1:11" x14ac:dyDescent="0.25">
      <c r="A433" s="2">
        <v>45787.515859766267</v>
      </c>
      <c r="B433" s="3" t="s">
        <v>17</v>
      </c>
      <c r="C433" s="3" t="s">
        <v>18</v>
      </c>
      <c r="D433" s="3">
        <v>596</v>
      </c>
      <c r="E433" s="3">
        <v>399</v>
      </c>
      <c r="F433" s="3">
        <v>71</v>
      </c>
      <c r="G433" s="3">
        <v>38</v>
      </c>
      <c r="H433" s="3">
        <v>0.66946308724832215</v>
      </c>
      <c r="I433" s="3">
        <v>0.17794486215538849</v>
      </c>
      <c r="J433" s="3">
        <v>0.53521126760563376</v>
      </c>
      <c r="K433" s="3">
        <v>6.3758389261744972E-2</v>
      </c>
    </row>
    <row r="434" spans="1:11" x14ac:dyDescent="0.25">
      <c r="A434" s="2">
        <v>45787.816360600998</v>
      </c>
      <c r="B434" s="3" t="s">
        <v>15</v>
      </c>
      <c r="C434" s="3" t="s">
        <v>12</v>
      </c>
      <c r="D434" s="3">
        <v>507</v>
      </c>
      <c r="E434" s="3">
        <v>294</v>
      </c>
      <c r="F434" s="3">
        <v>60</v>
      </c>
      <c r="G434" s="3">
        <v>11</v>
      </c>
      <c r="H434" s="3">
        <v>0.57988165680473369</v>
      </c>
      <c r="I434" s="3">
        <v>0.2040816326530612</v>
      </c>
      <c r="J434" s="3">
        <v>0.18333333333333329</v>
      </c>
      <c r="K434" s="3">
        <v>2.1696252465483231E-2</v>
      </c>
    </row>
    <row r="435" spans="1:11" x14ac:dyDescent="0.25">
      <c r="A435" s="2">
        <v>45788.116861435723</v>
      </c>
      <c r="B435" s="3" t="s">
        <v>16</v>
      </c>
      <c r="C435" s="3" t="s">
        <v>12</v>
      </c>
      <c r="D435" s="3">
        <v>618</v>
      </c>
      <c r="E435" s="3">
        <v>447</v>
      </c>
      <c r="F435" s="3">
        <v>118</v>
      </c>
      <c r="G435" s="3">
        <v>52</v>
      </c>
      <c r="H435" s="3">
        <v>0.72330097087378642</v>
      </c>
      <c r="I435" s="3">
        <v>0.26398210290827739</v>
      </c>
      <c r="J435" s="3">
        <v>0.44067796610169491</v>
      </c>
      <c r="K435" s="3">
        <v>8.4142394822006472E-2</v>
      </c>
    </row>
    <row r="436" spans="1:11" x14ac:dyDescent="0.25">
      <c r="A436" s="2">
        <v>45788.41736227044</v>
      </c>
      <c r="B436" s="3" t="s">
        <v>16</v>
      </c>
      <c r="C436" s="3" t="s">
        <v>12</v>
      </c>
      <c r="D436" s="3">
        <v>239</v>
      </c>
      <c r="E436" s="3">
        <v>145</v>
      </c>
      <c r="F436" s="3">
        <v>41</v>
      </c>
      <c r="G436" s="3">
        <v>20</v>
      </c>
      <c r="H436" s="3">
        <v>0.60669456066945604</v>
      </c>
      <c r="I436" s="3">
        <v>0.28275862068965518</v>
      </c>
      <c r="J436" s="3">
        <v>0.48780487804878048</v>
      </c>
      <c r="K436" s="3">
        <v>8.3682008368200833E-2</v>
      </c>
    </row>
    <row r="437" spans="1:11" x14ac:dyDescent="0.25">
      <c r="A437" s="2">
        <v>45788.717863105172</v>
      </c>
      <c r="B437" s="3" t="s">
        <v>14</v>
      </c>
      <c r="C437" s="3" t="s">
        <v>18</v>
      </c>
      <c r="D437" s="3">
        <v>228</v>
      </c>
      <c r="E437" s="3">
        <v>144</v>
      </c>
      <c r="F437" s="3">
        <v>56</v>
      </c>
      <c r="G437" s="3">
        <v>23</v>
      </c>
      <c r="H437" s="3">
        <v>0.63157894736842102</v>
      </c>
      <c r="I437" s="3">
        <v>0.3888888888888889</v>
      </c>
      <c r="J437" s="3">
        <v>0.4107142857142857</v>
      </c>
      <c r="K437" s="3">
        <v>0.10087719298245609</v>
      </c>
    </row>
    <row r="438" spans="1:11" x14ac:dyDescent="0.25">
      <c r="A438" s="2">
        <v>45789.018363939897</v>
      </c>
      <c r="B438" s="3" t="s">
        <v>16</v>
      </c>
      <c r="C438" s="3" t="s">
        <v>12</v>
      </c>
      <c r="D438" s="3">
        <v>309</v>
      </c>
      <c r="E438" s="3">
        <v>175</v>
      </c>
      <c r="F438" s="3">
        <v>38</v>
      </c>
      <c r="G438" s="3">
        <v>14</v>
      </c>
      <c r="H438" s="3">
        <v>0.56634304207119746</v>
      </c>
      <c r="I438" s="3">
        <v>0.21714285714285711</v>
      </c>
      <c r="J438" s="3">
        <v>0.36842105263157893</v>
      </c>
      <c r="K438" s="3">
        <v>4.5307443365695803E-2</v>
      </c>
    </row>
    <row r="439" spans="1:11" x14ac:dyDescent="0.25">
      <c r="A439" s="2">
        <v>45789.318864774621</v>
      </c>
      <c r="B439" s="3" t="s">
        <v>17</v>
      </c>
      <c r="C439" s="3" t="s">
        <v>18</v>
      </c>
      <c r="D439" s="3">
        <v>641</v>
      </c>
      <c r="E439" s="3">
        <v>443</v>
      </c>
      <c r="F439" s="3">
        <v>158</v>
      </c>
      <c r="G439" s="3">
        <v>45</v>
      </c>
      <c r="H439" s="3">
        <v>0.69110764430577221</v>
      </c>
      <c r="I439" s="3">
        <v>0.35665914221218958</v>
      </c>
      <c r="J439" s="3">
        <v>0.2848101265822785</v>
      </c>
      <c r="K439" s="3">
        <v>7.0202808112324488E-2</v>
      </c>
    </row>
    <row r="440" spans="1:11" x14ac:dyDescent="0.25">
      <c r="A440" s="2">
        <v>45789.619365609338</v>
      </c>
      <c r="B440" s="3" t="s">
        <v>14</v>
      </c>
      <c r="C440" s="3" t="s">
        <v>12</v>
      </c>
      <c r="D440" s="3">
        <v>146</v>
      </c>
      <c r="E440" s="3">
        <v>98</v>
      </c>
      <c r="F440" s="3">
        <v>34</v>
      </c>
      <c r="G440" s="3">
        <v>13</v>
      </c>
      <c r="H440" s="3">
        <v>0.67123287671232879</v>
      </c>
      <c r="I440" s="3">
        <v>0.34693877551020408</v>
      </c>
      <c r="J440" s="3">
        <v>0.38235294117647062</v>
      </c>
      <c r="K440" s="3">
        <v>8.9041095890410954E-2</v>
      </c>
    </row>
    <row r="441" spans="1:11" x14ac:dyDescent="0.25">
      <c r="A441" s="2">
        <v>45789.919866444063</v>
      </c>
      <c r="B441" s="3" t="s">
        <v>16</v>
      </c>
      <c r="C441" s="3" t="s">
        <v>12</v>
      </c>
      <c r="D441" s="3">
        <v>460</v>
      </c>
      <c r="E441" s="3">
        <v>343</v>
      </c>
      <c r="F441" s="3">
        <v>108</v>
      </c>
      <c r="G441" s="3">
        <v>42</v>
      </c>
      <c r="H441" s="3">
        <v>0.7456521739130435</v>
      </c>
      <c r="I441" s="3">
        <v>0.31486880466472311</v>
      </c>
      <c r="J441" s="3">
        <v>0.3888888888888889</v>
      </c>
      <c r="K441" s="3">
        <v>9.1304347826086957E-2</v>
      </c>
    </row>
    <row r="442" spans="1:11" x14ac:dyDescent="0.25">
      <c r="A442" s="2">
        <v>45790.220367278787</v>
      </c>
      <c r="B442" s="3" t="s">
        <v>16</v>
      </c>
      <c r="C442" s="3" t="s">
        <v>12</v>
      </c>
      <c r="D442" s="3">
        <v>137</v>
      </c>
      <c r="E442" s="3">
        <v>98</v>
      </c>
      <c r="F442" s="3">
        <v>32</v>
      </c>
      <c r="G442" s="3">
        <v>17</v>
      </c>
      <c r="H442" s="3">
        <v>0.71532846715328469</v>
      </c>
      <c r="I442" s="3">
        <v>0.32653061224489788</v>
      </c>
      <c r="J442" s="3">
        <v>0.53125</v>
      </c>
      <c r="K442" s="3">
        <v>0.1240875912408759</v>
      </c>
    </row>
    <row r="443" spans="1:11" x14ac:dyDescent="0.25">
      <c r="A443" s="2">
        <v>45790.520868113519</v>
      </c>
      <c r="B443" s="3" t="s">
        <v>13</v>
      </c>
      <c r="C443" s="3" t="s">
        <v>18</v>
      </c>
      <c r="D443" s="3">
        <v>338</v>
      </c>
      <c r="E443" s="3">
        <v>206</v>
      </c>
      <c r="F443" s="3">
        <v>46</v>
      </c>
      <c r="G443" s="3">
        <v>31</v>
      </c>
      <c r="H443" s="3">
        <v>0.60946745562130178</v>
      </c>
      <c r="I443" s="3">
        <v>0.22330097087378639</v>
      </c>
      <c r="J443" s="3">
        <v>0.67391304347826086</v>
      </c>
      <c r="K443" s="3">
        <v>9.1715976331360943E-2</v>
      </c>
    </row>
    <row r="444" spans="1:11" x14ac:dyDescent="0.25">
      <c r="A444" s="2">
        <v>45790.821368948244</v>
      </c>
      <c r="B444" s="3" t="s">
        <v>11</v>
      </c>
      <c r="C444" s="3" t="s">
        <v>12</v>
      </c>
      <c r="D444" s="3">
        <v>421</v>
      </c>
      <c r="E444" s="3">
        <v>248</v>
      </c>
      <c r="F444" s="3">
        <v>55</v>
      </c>
      <c r="G444" s="3">
        <v>25</v>
      </c>
      <c r="H444" s="3">
        <v>0.5890736342042755</v>
      </c>
      <c r="I444" s="3">
        <v>0.22177419354838709</v>
      </c>
      <c r="J444" s="3">
        <v>0.45454545454545447</v>
      </c>
      <c r="K444" s="3">
        <v>5.9382422802850353E-2</v>
      </c>
    </row>
    <row r="445" spans="1:11" x14ac:dyDescent="0.25">
      <c r="A445" s="2">
        <v>45791.121869782961</v>
      </c>
      <c r="B445" s="3" t="s">
        <v>11</v>
      </c>
      <c r="C445" s="3" t="s">
        <v>18</v>
      </c>
      <c r="D445" s="3">
        <v>209</v>
      </c>
      <c r="E445" s="3">
        <v>146</v>
      </c>
      <c r="F445" s="3">
        <v>51</v>
      </c>
      <c r="G445" s="3">
        <v>16</v>
      </c>
      <c r="H445" s="3">
        <v>0.69856459330143539</v>
      </c>
      <c r="I445" s="3">
        <v>0.34931506849315069</v>
      </c>
      <c r="J445" s="3">
        <v>0.31372549019607843</v>
      </c>
      <c r="K445" s="3">
        <v>7.6555023923444973E-2</v>
      </c>
    </row>
    <row r="446" spans="1:11" x14ac:dyDescent="0.25">
      <c r="A446" s="2">
        <v>45791.422370617693</v>
      </c>
      <c r="B446" s="3" t="s">
        <v>17</v>
      </c>
      <c r="C446" s="3" t="s">
        <v>18</v>
      </c>
      <c r="D446" s="3">
        <v>251</v>
      </c>
      <c r="E446" s="3">
        <v>183</v>
      </c>
      <c r="F446" s="3">
        <v>44</v>
      </c>
      <c r="G446" s="3">
        <v>22</v>
      </c>
      <c r="H446" s="3">
        <v>0.72908366533864544</v>
      </c>
      <c r="I446" s="3">
        <v>0.24043715846994529</v>
      </c>
      <c r="J446" s="3">
        <v>0.5</v>
      </c>
      <c r="K446" s="3">
        <v>8.7649402390438252E-2</v>
      </c>
    </row>
    <row r="447" spans="1:11" x14ac:dyDescent="0.25">
      <c r="A447" s="2">
        <v>45791.722871452417</v>
      </c>
      <c r="B447" s="3" t="s">
        <v>13</v>
      </c>
      <c r="C447" s="3" t="s">
        <v>18</v>
      </c>
      <c r="D447" s="3">
        <v>288</v>
      </c>
      <c r="E447" s="3">
        <v>208</v>
      </c>
      <c r="F447" s="3">
        <v>43</v>
      </c>
      <c r="G447" s="3">
        <v>25</v>
      </c>
      <c r="H447" s="3">
        <v>0.72222222222222221</v>
      </c>
      <c r="I447" s="3">
        <v>0.20673076923076919</v>
      </c>
      <c r="J447" s="3">
        <v>0.58139534883720934</v>
      </c>
      <c r="K447" s="3">
        <v>8.6805555555555552E-2</v>
      </c>
    </row>
    <row r="448" spans="1:11" x14ac:dyDescent="0.25">
      <c r="A448" s="2">
        <v>45792.023372287142</v>
      </c>
      <c r="B448" s="3" t="s">
        <v>13</v>
      </c>
      <c r="C448" s="3" t="s">
        <v>12</v>
      </c>
      <c r="D448" s="3">
        <v>433</v>
      </c>
      <c r="E448" s="3">
        <v>256</v>
      </c>
      <c r="F448" s="3">
        <v>99</v>
      </c>
      <c r="G448" s="3">
        <v>38</v>
      </c>
      <c r="H448" s="3">
        <v>0.59122401847575057</v>
      </c>
      <c r="I448" s="3">
        <v>0.38671875</v>
      </c>
      <c r="J448" s="3">
        <v>0.38383838383838381</v>
      </c>
      <c r="K448" s="3">
        <v>8.7759815242494224E-2</v>
      </c>
    </row>
    <row r="449" spans="1:11" x14ac:dyDescent="0.25">
      <c r="A449" s="2">
        <v>45792.323873121873</v>
      </c>
      <c r="B449" s="3" t="s">
        <v>14</v>
      </c>
      <c r="C449" s="3" t="s">
        <v>12</v>
      </c>
      <c r="D449" s="3">
        <v>550</v>
      </c>
      <c r="E449" s="3">
        <v>415</v>
      </c>
      <c r="F449" s="3">
        <v>165</v>
      </c>
      <c r="G449" s="3">
        <v>102</v>
      </c>
      <c r="H449" s="3">
        <v>0.75454545454545452</v>
      </c>
      <c r="I449" s="3">
        <v>0.39759036144578308</v>
      </c>
      <c r="J449" s="3">
        <v>0.61818181818181817</v>
      </c>
      <c r="K449" s="3">
        <v>0.18545454545454551</v>
      </c>
    </row>
    <row r="450" spans="1:11" x14ac:dyDescent="0.25">
      <c r="A450" s="2">
        <v>45792.624373956583</v>
      </c>
      <c r="B450" s="3" t="s">
        <v>11</v>
      </c>
      <c r="C450" s="3" t="s">
        <v>18</v>
      </c>
      <c r="D450" s="3">
        <v>195</v>
      </c>
      <c r="E450" s="3">
        <v>109</v>
      </c>
      <c r="F450" s="3">
        <v>45</v>
      </c>
      <c r="G450" s="3">
        <v>17</v>
      </c>
      <c r="H450" s="3">
        <v>0.55897435897435899</v>
      </c>
      <c r="I450" s="3">
        <v>0.41284403669724767</v>
      </c>
      <c r="J450" s="3">
        <v>0.37777777777777782</v>
      </c>
      <c r="K450" s="3">
        <v>8.7179487179487175E-2</v>
      </c>
    </row>
    <row r="451" spans="1:11" x14ac:dyDescent="0.25">
      <c r="A451" s="2">
        <v>45792.924874791308</v>
      </c>
      <c r="B451" s="3" t="s">
        <v>16</v>
      </c>
      <c r="C451" s="3" t="s">
        <v>12</v>
      </c>
      <c r="D451" s="3">
        <v>343</v>
      </c>
      <c r="E451" s="3">
        <v>267</v>
      </c>
      <c r="F451" s="3">
        <v>50</v>
      </c>
      <c r="G451" s="3">
        <v>32</v>
      </c>
      <c r="H451" s="3">
        <v>0.77842565597667635</v>
      </c>
      <c r="I451" s="3">
        <v>0.1872659176029963</v>
      </c>
      <c r="J451" s="3">
        <v>0.64</v>
      </c>
      <c r="K451" s="3">
        <v>9.3294460641399415E-2</v>
      </c>
    </row>
    <row r="452" spans="1:11" x14ac:dyDescent="0.25">
      <c r="A452" s="2">
        <v>45793.22537562604</v>
      </c>
      <c r="B452" s="3" t="s">
        <v>17</v>
      </c>
      <c r="C452" s="3" t="s">
        <v>18</v>
      </c>
      <c r="D452" s="3">
        <v>521</v>
      </c>
      <c r="E452" s="3">
        <v>359</v>
      </c>
      <c r="F452" s="3">
        <v>132</v>
      </c>
      <c r="G452" s="3">
        <v>32</v>
      </c>
      <c r="H452" s="3">
        <v>0.68905950095969293</v>
      </c>
      <c r="I452" s="3">
        <v>0.36768802228412262</v>
      </c>
      <c r="J452" s="3">
        <v>0.2424242424242424</v>
      </c>
      <c r="K452" s="3">
        <v>6.1420345489443383E-2</v>
      </c>
    </row>
    <row r="453" spans="1:11" x14ac:dyDescent="0.25">
      <c r="A453" s="2">
        <v>45793.525876460757</v>
      </c>
      <c r="B453" s="3" t="s">
        <v>15</v>
      </c>
      <c r="C453" s="3" t="s">
        <v>12</v>
      </c>
      <c r="D453" s="3">
        <v>627</v>
      </c>
      <c r="E453" s="3">
        <v>465</v>
      </c>
      <c r="F453" s="3">
        <v>120</v>
      </c>
      <c r="G453" s="3">
        <v>69</v>
      </c>
      <c r="H453" s="3">
        <v>0.74162679425837319</v>
      </c>
      <c r="I453" s="3">
        <v>0.25806451612903231</v>
      </c>
      <c r="J453" s="3">
        <v>0.57499999999999996</v>
      </c>
      <c r="K453" s="3">
        <v>0.1100478468899522</v>
      </c>
    </row>
    <row r="454" spans="1:11" x14ac:dyDescent="0.25">
      <c r="A454" s="2">
        <v>45793.826377295489</v>
      </c>
      <c r="B454" s="3" t="s">
        <v>11</v>
      </c>
      <c r="C454" s="3" t="s">
        <v>19</v>
      </c>
      <c r="D454" s="3">
        <v>532</v>
      </c>
      <c r="E454" s="3">
        <v>372</v>
      </c>
      <c r="F454" s="3">
        <v>112</v>
      </c>
      <c r="G454" s="3">
        <v>37</v>
      </c>
      <c r="H454" s="3">
        <v>0.6992481203007519</v>
      </c>
      <c r="I454" s="3">
        <v>0.30107526881720431</v>
      </c>
      <c r="J454" s="3">
        <v>0.33035714285714279</v>
      </c>
      <c r="K454" s="3">
        <v>6.9548872180451124E-2</v>
      </c>
    </row>
    <row r="455" spans="1:11" x14ac:dyDescent="0.25">
      <c r="A455" s="2">
        <v>45794.126878130213</v>
      </c>
      <c r="B455" s="3" t="s">
        <v>17</v>
      </c>
      <c r="C455" s="3" t="s">
        <v>18</v>
      </c>
      <c r="D455" s="3">
        <v>556</v>
      </c>
      <c r="E455" s="3">
        <v>406</v>
      </c>
      <c r="F455" s="3">
        <v>147</v>
      </c>
      <c r="G455" s="3">
        <v>73</v>
      </c>
      <c r="H455" s="3">
        <v>0.73021582733812951</v>
      </c>
      <c r="I455" s="3">
        <v>0.36206896551724138</v>
      </c>
      <c r="J455" s="3">
        <v>0.49659863945578231</v>
      </c>
      <c r="K455" s="3">
        <v>0.13129496402877699</v>
      </c>
    </row>
    <row r="456" spans="1:11" x14ac:dyDescent="0.25">
      <c r="A456" s="2">
        <v>45794.427378964931</v>
      </c>
      <c r="B456" s="3" t="s">
        <v>16</v>
      </c>
      <c r="C456" s="3" t="s">
        <v>19</v>
      </c>
      <c r="D456" s="3">
        <v>366</v>
      </c>
      <c r="E456" s="3">
        <v>288</v>
      </c>
      <c r="F456" s="3">
        <v>64</v>
      </c>
      <c r="G456" s="3">
        <v>38</v>
      </c>
      <c r="H456" s="3">
        <v>0.78688524590163933</v>
      </c>
      <c r="I456" s="3">
        <v>0.22222222222222221</v>
      </c>
      <c r="J456" s="3">
        <v>0.59375</v>
      </c>
      <c r="K456" s="3">
        <v>0.1038251366120219</v>
      </c>
    </row>
    <row r="457" spans="1:11" x14ac:dyDescent="0.25">
      <c r="A457" s="2">
        <v>45794.727879799662</v>
      </c>
      <c r="B457" s="3" t="s">
        <v>15</v>
      </c>
      <c r="C457" s="3" t="s">
        <v>12</v>
      </c>
      <c r="D457" s="3">
        <v>382</v>
      </c>
      <c r="E457" s="3">
        <v>222</v>
      </c>
      <c r="F457" s="3">
        <v>37</v>
      </c>
      <c r="G457" s="3">
        <v>8</v>
      </c>
      <c r="H457" s="3">
        <v>0.58115183246073299</v>
      </c>
      <c r="I457" s="3">
        <v>0.16666666666666671</v>
      </c>
      <c r="J457" s="3">
        <v>0.2162162162162162</v>
      </c>
      <c r="K457" s="3">
        <v>2.0942408376963349E-2</v>
      </c>
    </row>
    <row r="458" spans="1:11" x14ac:dyDescent="0.25">
      <c r="A458" s="2">
        <v>45795.028380634387</v>
      </c>
      <c r="B458" s="3" t="s">
        <v>16</v>
      </c>
      <c r="C458" s="3" t="s">
        <v>18</v>
      </c>
      <c r="D458" s="3">
        <v>390</v>
      </c>
      <c r="E458" s="3">
        <v>251</v>
      </c>
      <c r="F458" s="3">
        <v>77</v>
      </c>
      <c r="G458" s="3">
        <v>37</v>
      </c>
      <c r="H458" s="3">
        <v>0.64358974358974363</v>
      </c>
      <c r="I458" s="3">
        <v>0.30677290836653393</v>
      </c>
      <c r="J458" s="3">
        <v>0.48051948051948051</v>
      </c>
      <c r="K458" s="3">
        <v>9.4871794871794868E-2</v>
      </c>
    </row>
    <row r="459" spans="1:11" x14ac:dyDescent="0.25">
      <c r="A459" s="2">
        <v>45795.328881469111</v>
      </c>
      <c r="B459" s="3" t="s">
        <v>15</v>
      </c>
      <c r="C459" s="3" t="s">
        <v>12</v>
      </c>
      <c r="D459" s="3">
        <v>287</v>
      </c>
      <c r="E459" s="3">
        <v>169</v>
      </c>
      <c r="F459" s="3">
        <v>64</v>
      </c>
      <c r="G459" s="3">
        <v>32</v>
      </c>
      <c r="H459" s="3">
        <v>0.58885017421602792</v>
      </c>
      <c r="I459" s="3">
        <v>0.378698224852071</v>
      </c>
      <c r="J459" s="3">
        <v>0.5</v>
      </c>
      <c r="K459" s="3">
        <v>0.1114982578397213</v>
      </c>
    </row>
    <row r="460" spans="1:11" x14ac:dyDescent="0.25">
      <c r="A460" s="2">
        <v>45795.629382303829</v>
      </c>
      <c r="B460" s="3" t="s">
        <v>16</v>
      </c>
      <c r="C460" s="3" t="s">
        <v>12</v>
      </c>
      <c r="D460" s="3">
        <v>525</v>
      </c>
      <c r="E460" s="3">
        <v>360</v>
      </c>
      <c r="F460" s="3">
        <v>93</v>
      </c>
      <c r="G460" s="3">
        <v>39</v>
      </c>
      <c r="H460" s="3">
        <v>0.68571428571428572</v>
      </c>
      <c r="I460" s="3">
        <v>0.25833333333333341</v>
      </c>
      <c r="J460" s="3">
        <v>0.41935483870967738</v>
      </c>
      <c r="K460" s="3">
        <v>7.4285714285714288E-2</v>
      </c>
    </row>
    <row r="461" spans="1:11" x14ac:dyDescent="0.25">
      <c r="A461" s="2">
        <v>45795.929883138553</v>
      </c>
      <c r="B461" s="3" t="s">
        <v>16</v>
      </c>
      <c r="C461" s="3" t="s">
        <v>18</v>
      </c>
      <c r="D461" s="3">
        <v>134</v>
      </c>
      <c r="E461" s="3">
        <v>108</v>
      </c>
      <c r="F461" s="3">
        <v>21</v>
      </c>
      <c r="G461" s="3">
        <v>13</v>
      </c>
      <c r="H461" s="3">
        <v>0.80597014925373134</v>
      </c>
      <c r="I461" s="3">
        <v>0.19444444444444439</v>
      </c>
      <c r="J461" s="3">
        <v>0.61904761904761907</v>
      </c>
      <c r="K461" s="3">
        <v>9.7014925373134331E-2</v>
      </c>
    </row>
    <row r="462" spans="1:11" x14ac:dyDescent="0.25">
      <c r="A462" s="2">
        <v>45796.230383973278</v>
      </c>
      <c r="B462" s="3" t="s">
        <v>16</v>
      </c>
      <c r="C462" s="3" t="s">
        <v>18</v>
      </c>
      <c r="D462" s="3">
        <v>91</v>
      </c>
      <c r="E462" s="3">
        <v>68</v>
      </c>
      <c r="F462" s="3">
        <v>13</v>
      </c>
      <c r="G462" s="3">
        <v>7</v>
      </c>
      <c r="H462" s="3">
        <v>0.74725274725274726</v>
      </c>
      <c r="I462" s="3">
        <v>0.19117647058823531</v>
      </c>
      <c r="J462" s="3">
        <v>0.53846153846153844</v>
      </c>
      <c r="K462" s="3">
        <v>7.6923076923076927E-2</v>
      </c>
    </row>
    <row r="463" spans="1:11" x14ac:dyDescent="0.25">
      <c r="A463" s="2">
        <v>45796.530884808009</v>
      </c>
      <c r="B463" s="3" t="s">
        <v>14</v>
      </c>
      <c r="C463" s="3" t="s">
        <v>19</v>
      </c>
      <c r="D463" s="3">
        <v>479</v>
      </c>
      <c r="E463" s="3">
        <v>377</v>
      </c>
      <c r="F463" s="3">
        <v>129</v>
      </c>
      <c r="G463" s="3">
        <v>76</v>
      </c>
      <c r="H463" s="3">
        <v>0.78705636743215035</v>
      </c>
      <c r="I463" s="3">
        <v>0.34217506631299732</v>
      </c>
      <c r="J463" s="3">
        <v>0.58914728682170547</v>
      </c>
      <c r="K463" s="3">
        <v>0.15866388308977039</v>
      </c>
    </row>
    <row r="464" spans="1:11" x14ac:dyDescent="0.25">
      <c r="A464" s="2">
        <v>45796.831385642727</v>
      </c>
      <c r="B464" s="3" t="s">
        <v>14</v>
      </c>
      <c r="C464" s="3" t="s">
        <v>18</v>
      </c>
      <c r="D464" s="3">
        <v>594</v>
      </c>
      <c r="E464" s="3">
        <v>383</v>
      </c>
      <c r="F464" s="3">
        <v>159</v>
      </c>
      <c r="G464" s="3">
        <v>82</v>
      </c>
      <c r="H464" s="3">
        <v>0.64478114478114479</v>
      </c>
      <c r="I464" s="3">
        <v>0.41514360313315929</v>
      </c>
      <c r="J464" s="3">
        <v>0.51572327044025157</v>
      </c>
      <c r="K464" s="3">
        <v>0.13804713804713811</v>
      </c>
    </row>
    <row r="465" spans="1:11" x14ac:dyDescent="0.25">
      <c r="A465" s="2">
        <v>45797.131886477451</v>
      </c>
      <c r="B465" s="3" t="s">
        <v>15</v>
      </c>
      <c r="C465" s="3" t="s">
        <v>12</v>
      </c>
      <c r="D465" s="3">
        <v>621</v>
      </c>
      <c r="E465" s="3">
        <v>380</v>
      </c>
      <c r="F465" s="3">
        <v>147</v>
      </c>
      <c r="G465" s="3">
        <v>71</v>
      </c>
      <c r="H465" s="3">
        <v>0.61191626409017719</v>
      </c>
      <c r="I465" s="3">
        <v>0.38684210526315788</v>
      </c>
      <c r="J465" s="3">
        <v>0.48299319727891149</v>
      </c>
      <c r="K465" s="3">
        <v>0.1143317230273752</v>
      </c>
    </row>
    <row r="466" spans="1:11" x14ac:dyDescent="0.25">
      <c r="A466" s="2">
        <v>45797.432387312183</v>
      </c>
      <c r="B466" s="3" t="s">
        <v>13</v>
      </c>
      <c r="C466" s="3" t="s">
        <v>12</v>
      </c>
      <c r="D466" s="3">
        <v>316</v>
      </c>
      <c r="E466" s="3">
        <v>178</v>
      </c>
      <c r="F466" s="3">
        <v>60</v>
      </c>
      <c r="G466" s="3">
        <v>19</v>
      </c>
      <c r="H466" s="3">
        <v>0.56329113924050633</v>
      </c>
      <c r="I466" s="3">
        <v>0.33707865168539319</v>
      </c>
      <c r="J466" s="3">
        <v>0.31666666666666671</v>
      </c>
      <c r="K466" s="3">
        <v>6.0126582278481007E-2</v>
      </c>
    </row>
    <row r="467" spans="1:11" x14ac:dyDescent="0.25">
      <c r="A467" s="2">
        <v>45797.732888146907</v>
      </c>
      <c r="B467" s="3" t="s">
        <v>11</v>
      </c>
      <c r="C467" s="3" t="s">
        <v>18</v>
      </c>
      <c r="D467" s="3">
        <v>358</v>
      </c>
      <c r="E467" s="3">
        <v>214</v>
      </c>
      <c r="F467" s="3">
        <v>65</v>
      </c>
      <c r="G467" s="3">
        <v>38</v>
      </c>
      <c r="H467" s="3">
        <v>0.5977653631284916</v>
      </c>
      <c r="I467" s="3">
        <v>0.30373831775700932</v>
      </c>
      <c r="J467" s="3">
        <v>0.58461538461538465</v>
      </c>
      <c r="K467" s="3">
        <v>0.106145251396648</v>
      </c>
    </row>
    <row r="468" spans="1:11" x14ac:dyDescent="0.25">
      <c r="A468" s="2">
        <v>45798.033388981632</v>
      </c>
      <c r="B468" s="3" t="s">
        <v>11</v>
      </c>
      <c r="C468" s="3" t="s">
        <v>12</v>
      </c>
      <c r="D468" s="3">
        <v>427</v>
      </c>
      <c r="E468" s="3">
        <v>303</v>
      </c>
      <c r="F468" s="3">
        <v>104</v>
      </c>
      <c r="G468" s="3">
        <v>31</v>
      </c>
      <c r="H468" s="3">
        <v>0.70960187353629978</v>
      </c>
      <c r="I468" s="3">
        <v>0.34323432343234322</v>
      </c>
      <c r="J468" s="3">
        <v>0.29807692307692307</v>
      </c>
      <c r="K468" s="3">
        <v>7.2599531615925056E-2</v>
      </c>
    </row>
    <row r="469" spans="1:11" x14ac:dyDescent="0.25">
      <c r="A469" s="2">
        <v>45798.333889816357</v>
      </c>
      <c r="B469" s="3" t="s">
        <v>17</v>
      </c>
      <c r="C469" s="3" t="s">
        <v>12</v>
      </c>
      <c r="D469" s="3">
        <v>183</v>
      </c>
      <c r="E469" s="3">
        <v>134</v>
      </c>
      <c r="F469" s="3">
        <v>36</v>
      </c>
      <c r="G469" s="3">
        <v>21</v>
      </c>
      <c r="H469" s="3">
        <v>0.73224043715846998</v>
      </c>
      <c r="I469" s="3">
        <v>0.26865671641791039</v>
      </c>
      <c r="J469" s="3">
        <v>0.58333333333333337</v>
      </c>
      <c r="K469" s="3">
        <v>0.1147540983606557</v>
      </c>
    </row>
    <row r="470" spans="1:11" x14ac:dyDescent="0.25">
      <c r="A470" s="2">
        <v>45798.634390651066</v>
      </c>
      <c r="B470" s="3" t="s">
        <v>16</v>
      </c>
      <c r="C470" s="3" t="s">
        <v>12</v>
      </c>
      <c r="D470" s="3">
        <v>596</v>
      </c>
      <c r="E470" s="3">
        <v>385</v>
      </c>
      <c r="F470" s="3">
        <v>78</v>
      </c>
      <c r="G470" s="3">
        <v>23</v>
      </c>
      <c r="H470" s="3">
        <v>0.64597315436241609</v>
      </c>
      <c r="I470" s="3">
        <v>0.20259740259740261</v>
      </c>
      <c r="J470" s="3">
        <v>0.29487179487179488</v>
      </c>
      <c r="K470" s="3">
        <v>3.8590604026845637E-2</v>
      </c>
    </row>
    <row r="471" spans="1:11" x14ac:dyDescent="0.25">
      <c r="A471" s="2">
        <v>45798.934891485798</v>
      </c>
      <c r="B471" s="3" t="s">
        <v>13</v>
      </c>
      <c r="C471" s="3" t="s">
        <v>12</v>
      </c>
      <c r="D471" s="3">
        <v>327</v>
      </c>
      <c r="E471" s="3">
        <v>195</v>
      </c>
      <c r="F471" s="3">
        <v>50</v>
      </c>
      <c r="G471" s="3">
        <v>31</v>
      </c>
      <c r="H471" s="3">
        <v>0.59633027522935778</v>
      </c>
      <c r="I471" s="3">
        <v>0.25641025641025639</v>
      </c>
      <c r="J471" s="3">
        <v>0.62</v>
      </c>
      <c r="K471" s="3">
        <v>9.480122324159021E-2</v>
      </c>
    </row>
    <row r="472" spans="1:11" x14ac:dyDescent="0.25">
      <c r="A472" s="2">
        <v>45799.23539232053</v>
      </c>
      <c r="B472" s="3" t="s">
        <v>16</v>
      </c>
      <c r="C472" s="3" t="s">
        <v>12</v>
      </c>
      <c r="D472" s="3">
        <v>443</v>
      </c>
      <c r="E472" s="3">
        <v>306</v>
      </c>
      <c r="F472" s="3">
        <v>88</v>
      </c>
      <c r="G472" s="3">
        <v>49</v>
      </c>
      <c r="H472" s="3">
        <v>0.69074492099322804</v>
      </c>
      <c r="I472" s="3">
        <v>0.28758169934640521</v>
      </c>
      <c r="J472" s="3">
        <v>0.55681818181818177</v>
      </c>
      <c r="K472" s="3">
        <v>0.1106094808126411</v>
      </c>
    </row>
    <row r="473" spans="1:11" x14ac:dyDescent="0.25">
      <c r="A473" s="2">
        <v>45799.535893155247</v>
      </c>
      <c r="B473" s="3" t="s">
        <v>13</v>
      </c>
      <c r="C473" s="3" t="s">
        <v>12</v>
      </c>
      <c r="D473" s="3">
        <v>400</v>
      </c>
      <c r="E473" s="3">
        <v>258</v>
      </c>
      <c r="F473" s="3">
        <v>81</v>
      </c>
      <c r="G473" s="3">
        <v>41</v>
      </c>
      <c r="H473" s="3">
        <v>0.64500000000000002</v>
      </c>
      <c r="I473" s="3">
        <v>0.31395348837209303</v>
      </c>
      <c r="J473" s="3">
        <v>0.50617283950617287</v>
      </c>
      <c r="K473" s="3">
        <v>0.10249999999999999</v>
      </c>
    </row>
    <row r="474" spans="1:11" x14ac:dyDescent="0.25">
      <c r="A474" s="2">
        <v>45799.836393989979</v>
      </c>
      <c r="B474" s="3" t="s">
        <v>16</v>
      </c>
      <c r="C474" s="3" t="s">
        <v>12</v>
      </c>
      <c r="D474" s="3">
        <v>365</v>
      </c>
      <c r="E474" s="3">
        <v>253</v>
      </c>
      <c r="F474" s="3">
        <v>95</v>
      </c>
      <c r="G474" s="3">
        <v>41</v>
      </c>
      <c r="H474" s="3">
        <v>0.69315068493150689</v>
      </c>
      <c r="I474" s="3">
        <v>0.37549407114624511</v>
      </c>
      <c r="J474" s="3">
        <v>0.43157894736842112</v>
      </c>
      <c r="K474" s="3">
        <v>0.1123287671232877</v>
      </c>
    </row>
    <row r="475" spans="1:11" x14ac:dyDescent="0.25">
      <c r="A475" s="2">
        <v>45800.136894824704</v>
      </c>
      <c r="B475" s="3" t="s">
        <v>17</v>
      </c>
      <c r="C475" s="3" t="s">
        <v>12</v>
      </c>
      <c r="D475" s="3">
        <v>228</v>
      </c>
      <c r="E475" s="3">
        <v>143</v>
      </c>
      <c r="F475" s="3">
        <v>49</v>
      </c>
      <c r="G475" s="3">
        <v>10</v>
      </c>
      <c r="H475" s="3">
        <v>0.6271929824561403</v>
      </c>
      <c r="I475" s="3">
        <v>0.34265734265734271</v>
      </c>
      <c r="J475" s="3">
        <v>0.2040816326530612</v>
      </c>
      <c r="K475" s="3">
        <v>4.3859649122807022E-2</v>
      </c>
    </row>
    <row r="476" spans="1:11" x14ac:dyDescent="0.25">
      <c r="A476" s="2">
        <v>45800.437395659421</v>
      </c>
      <c r="B476" s="3" t="s">
        <v>15</v>
      </c>
      <c r="C476" s="3" t="s">
        <v>19</v>
      </c>
      <c r="D476" s="3">
        <v>163</v>
      </c>
      <c r="E476" s="3">
        <v>139</v>
      </c>
      <c r="F476" s="3">
        <v>49</v>
      </c>
      <c r="G476" s="3">
        <v>28</v>
      </c>
      <c r="H476" s="3">
        <v>0.85276073619631898</v>
      </c>
      <c r="I476" s="3">
        <v>0.35251798561151082</v>
      </c>
      <c r="J476" s="3">
        <v>0.5714285714285714</v>
      </c>
      <c r="K476" s="3">
        <v>0.17177914110429451</v>
      </c>
    </row>
    <row r="477" spans="1:11" x14ac:dyDescent="0.25">
      <c r="A477" s="2">
        <v>45800.737896494153</v>
      </c>
      <c r="B477" s="3" t="s">
        <v>13</v>
      </c>
      <c r="C477" s="3" t="s">
        <v>12</v>
      </c>
      <c r="D477" s="3">
        <v>485</v>
      </c>
      <c r="E477" s="3">
        <v>384</v>
      </c>
      <c r="F477" s="3">
        <v>90</v>
      </c>
      <c r="G477" s="3">
        <v>58</v>
      </c>
      <c r="H477" s="3">
        <v>0.79175257731958759</v>
      </c>
      <c r="I477" s="3">
        <v>0.234375</v>
      </c>
      <c r="J477" s="3">
        <v>0.64444444444444449</v>
      </c>
      <c r="K477" s="3">
        <v>0.1195876288659794</v>
      </c>
    </row>
    <row r="478" spans="1:11" x14ac:dyDescent="0.25">
      <c r="A478" s="2">
        <v>45801.038397328877</v>
      </c>
      <c r="B478" s="3" t="s">
        <v>16</v>
      </c>
      <c r="C478" s="3" t="s">
        <v>12</v>
      </c>
      <c r="D478" s="3">
        <v>535</v>
      </c>
      <c r="E478" s="3">
        <v>390</v>
      </c>
      <c r="F478" s="3">
        <v>99</v>
      </c>
      <c r="G478" s="3">
        <v>36</v>
      </c>
      <c r="H478" s="3">
        <v>0.7289719626168224</v>
      </c>
      <c r="I478" s="3">
        <v>0.25384615384615378</v>
      </c>
      <c r="J478" s="3">
        <v>0.36363636363636359</v>
      </c>
      <c r="K478" s="3">
        <v>6.7289719626168226E-2</v>
      </c>
    </row>
    <row r="479" spans="1:11" x14ac:dyDescent="0.25">
      <c r="A479" s="2">
        <v>45801.338898163602</v>
      </c>
      <c r="B479" s="3" t="s">
        <v>15</v>
      </c>
      <c r="C479" s="3" t="s">
        <v>18</v>
      </c>
      <c r="D479" s="3">
        <v>240</v>
      </c>
      <c r="E479" s="3">
        <v>195</v>
      </c>
      <c r="F479" s="3">
        <v>86</v>
      </c>
      <c r="G479" s="3">
        <v>23</v>
      </c>
      <c r="H479" s="3">
        <v>0.8125</v>
      </c>
      <c r="I479" s="3">
        <v>0.44102564102564101</v>
      </c>
      <c r="J479" s="3">
        <v>0.26744186046511631</v>
      </c>
      <c r="K479" s="3">
        <v>9.583333333333334E-2</v>
      </c>
    </row>
    <row r="480" spans="1:11" x14ac:dyDescent="0.25">
      <c r="A480" s="2">
        <v>45801.639398998319</v>
      </c>
      <c r="B480" s="3" t="s">
        <v>30</v>
      </c>
      <c r="C480" s="3" t="s">
        <v>12</v>
      </c>
      <c r="D480" s="3">
        <v>539</v>
      </c>
      <c r="E480" s="3">
        <v>390</v>
      </c>
      <c r="F480" s="3">
        <v>131</v>
      </c>
      <c r="G480" s="3">
        <v>63</v>
      </c>
      <c r="H480" s="3">
        <v>0.72356215213358066</v>
      </c>
      <c r="I480" s="3">
        <v>0.33589743589743593</v>
      </c>
      <c r="J480" s="3">
        <v>0.48091603053435122</v>
      </c>
      <c r="K480" s="3">
        <v>0.11688311688311689</v>
      </c>
    </row>
    <row r="481" spans="1:11" x14ac:dyDescent="0.25">
      <c r="A481" s="2">
        <v>45801.939899833043</v>
      </c>
      <c r="B481" s="3" t="s">
        <v>15</v>
      </c>
      <c r="C481" s="3" t="s">
        <v>19</v>
      </c>
      <c r="D481" s="3">
        <v>629</v>
      </c>
      <c r="E481" s="3">
        <v>391</v>
      </c>
      <c r="F481" s="3">
        <v>125</v>
      </c>
      <c r="G481" s="3">
        <v>82</v>
      </c>
      <c r="H481" s="3">
        <v>0.6216216216216216</v>
      </c>
      <c r="I481" s="3">
        <v>0.31969309462915602</v>
      </c>
      <c r="J481" s="3">
        <v>0.65600000000000003</v>
      </c>
      <c r="K481" s="3">
        <v>0.13036565977742451</v>
      </c>
    </row>
    <row r="482" spans="1:11" x14ac:dyDescent="0.25">
      <c r="A482" s="2">
        <v>45802.240400667783</v>
      </c>
      <c r="B482" s="3" t="s">
        <v>15</v>
      </c>
      <c r="C482" s="3" t="s">
        <v>18</v>
      </c>
      <c r="D482" s="3">
        <v>579</v>
      </c>
      <c r="E482" s="3">
        <v>397</v>
      </c>
      <c r="F482" s="3">
        <v>105</v>
      </c>
      <c r="G482" s="3">
        <v>38</v>
      </c>
      <c r="H482" s="3">
        <v>0.68566493955094987</v>
      </c>
      <c r="I482" s="3">
        <v>0.26448362720403018</v>
      </c>
      <c r="J482" s="3">
        <v>0.3619047619047619</v>
      </c>
      <c r="K482" s="3">
        <v>6.563039723661486E-2</v>
      </c>
    </row>
    <row r="483" spans="1:11" x14ac:dyDescent="0.25">
      <c r="A483" s="2">
        <v>45802.5409015025</v>
      </c>
      <c r="B483" s="3" t="s">
        <v>14</v>
      </c>
      <c r="C483" s="3" t="s">
        <v>12</v>
      </c>
      <c r="D483" s="3">
        <v>588</v>
      </c>
      <c r="E483" s="3">
        <v>343</v>
      </c>
      <c r="F483" s="3">
        <v>114</v>
      </c>
      <c r="G483" s="3">
        <v>51</v>
      </c>
      <c r="H483" s="3">
        <v>0.58333333333333337</v>
      </c>
      <c r="I483" s="3">
        <v>0.33236151603498543</v>
      </c>
      <c r="J483" s="3">
        <v>0.44736842105263158</v>
      </c>
      <c r="K483" s="3">
        <v>8.673469387755102E-2</v>
      </c>
    </row>
    <row r="484" spans="1:11" x14ac:dyDescent="0.25">
      <c r="A484" s="2">
        <v>45802.841402337217</v>
      </c>
      <c r="B484" s="3" t="s">
        <v>11</v>
      </c>
      <c r="C484" s="3" t="s">
        <v>12</v>
      </c>
      <c r="D484" s="3">
        <v>560</v>
      </c>
      <c r="E484" s="3">
        <v>426</v>
      </c>
      <c r="F484" s="3">
        <v>98</v>
      </c>
      <c r="G484" s="3">
        <v>56</v>
      </c>
      <c r="H484" s="3">
        <v>0.76071428571428568</v>
      </c>
      <c r="I484" s="3">
        <v>0.2300469483568075</v>
      </c>
      <c r="J484" s="3">
        <v>0.5714285714285714</v>
      </c>
      <c r="K484" s="3">
        <v>0.1</v>
      </c>
    </row>
    <row r="485" spans="1:11" x14ac:dyDescent="0.25">
      <c r="A485" s="2">
        <v>45803.141903171942</v>
      </c>
      <c r="B485" s="3" t="s">
        <v>15</v>
      </c>
      <c r="C485" s="3" t="s">
        <v>18</v>
      </c>
      <c r="D485" s="3">
        <v>193</v>
      </c>
      <c r="E485" s="3">
        <v>162</v>
      </c>
      <c r="F485" s="3">
        <v>42</v>
      </c>
      <c r="G485" s="3">
        <v>15</v>
      </c>
      <c r="H485" s="3">
        <v>0.8393782383419689</v>
      </c>
      <c r="I485" s="3">
        <v>0.25925925925925919</v>
      </c>
      <c r="J485" s="3">
        <v>0.35714285714285721</v>
      </c>
      <c r="K485" s="3">
        <v>7.7720207253886009E-2</v>
      </c>
    </row>
    <row r="486" spans="1:11" x14ac:dyDescent="0.25">
      <c r="A486" s="2">
        <v>45803.442404006673</v>
      </c>
      <c r="B486" s="3" t="s">
        <v>15</v>
      </c>
      <c r="C486" s="3" t="s">
        <v>19</v>
      </c>
      <c r="D486" s="3">
        <v>440</v>
      </c>
      <c r="E486" s="3">
        <v>256</v>
      </c>
      <c r="F486" s="3">
        <v>61</v>
      </c>
      <c r="G486" s="3">
        <v>31</v>
      </c>
      <c r="H486" s="3">
        <v>0.58181818181818179</v>
      </c>
      <c r="I486" s="3">
        <v>0.23828125</v>
      </c>
      <c r="J486" s="3">
        <v>0.50819672131147542</v>
      </c>
      <c r="K486" s="3">
        <v>7.045454545454545E-2</v>
      </c>
    </row>
    <row r="487" spans="1:11" x14ac:dyDescent="0.25">
      <c r="A487" s="2">
        <v>45803.742904841398</v>
      </c>
      <c r="B487" s="3" t="s">
        <v>17</v>
      </c>
      <c r="C487" s="3" t="s">
        <v>12</v>
      </c>
      <c r="D487" s="3">
        <v>420</v>
      </c>
      <c r="E487" s="3">
        <v>298</v>
      </c>
      <c r="F487" s="3">
        <v>110</v>
      </c>
      <c r="G487" s="3">
        <v>48</v>
      </c>
      <c r="H487" s="3">
        <v>0.70952380952380956</v>
      </c>
      <c r="I487" s="3">
        <v>0.36912751677852351</v>
      </c>
      <c r="J487" s="3">
        <v>0.43636363636363629</v>
      </c>
      <c r="K487" s="3">
        <v>0.1142857142857143</v>
      </c>
    </row>
    <row r="488" spans="1:11" x14ac:dyDescent="0.25">
      <c r="A488" s="2">
        <v>45804.043405676122</v>
      </c>
      <c r="B488" s="3" t="s">
        <v>16</v>
      </c>
      <c r="C488" s="3" t="s">
        <v>18</v>
      </c>
      <c r="D488" s="3">
        <v>528</v>
      </c>
      <c r="E488" s="3">
        <v>300</v>
      </c>
      <c r="F488" s="3">
        <v>78</v>
      </c>
      <c r="G488" s="3">
        <v>25</v>
      </c>
      <c r="H488" s="3">
        <v>0.56818181818181823</v>
      </c>
      <c r="I488" s="3">
        <v>0.26</v>
      </c>
      <c r="J488" s="3">
        <v>0.32051282051282048</v>
      </c>
      <c r="K488" s="3">
        <v>4.7348484848484848E-2</v>
      </c>
    </row>
    <row r="489" spans="1:11" x14ac:dyDescent="0.25">
      <c r="A489" s="2">
        <v>45804.343906510847</v>
      </c>
      <c r="B489" s="3" t="s">
        <v>11</v>
      </c>
      <c r="C489" s="3" t="s">
        <v>12</v>
      </c>
      <c r="D489" s="3">
        <v>259</v>
      </c>
      <c r="E489" s="3">
        <v>160</v>
      </c>
      <c r="F489" s="3">
        <v>42</v>
      </c>
      <c r="G489" s="3">
        <v>15</v>
      </c>
      <c r="H489" s="3">
        <v>0.61776061776061775</v>
      </c>
      <c r="I489" s="3">
        <v>0.26250000000000001</v>
      </c>
      <c r="J489" s="3">
        <v>0.35714285714285721</v>
      </c>
      <c r="K489" s="3">
        <v>5.7915057915057917E-2</v>
      </c>
    </row>
    <row r="490" spans="1:11" x14ac:dyDescent="0.25">
      <c r="A490" s="2">
        <v>45804.644407345557</v>
      </c>
      <c r="B490" s="3" t="s">
        <v>13</v>
      </c>
      <c r="C490" s="3" t="s">
        <v>19</v>
      </c>
      <c r="D490" s="3">
        <v>486</v>
      </c>
      <c r="E490" s="3">
        <v>354</v>
      </c>
      <c r="F490" s="3">
        <v>104</v>
      </c>
      <c r="G490" s="3">
        <v>55</v>
      </c>
      <c r="H490" s="3">
        <v>0.72839506172839508</v>
      </c>
      <c r="I490" s="3">
        <v>0.29378531073446329</v>
      </c>
      <c r="J490" s="3">
        <v>0.52884615384615385</v>
      </c>
      <c r="K490" s="3">
        <v>0.1131687242798354</v>
      </c>
    </row>
    <row r="491" spans="1:11" x14ac:dyDescent="0.25">
      <c r="A491" s="2">
        <v>45804.944908180289</v>
      </c>
      <c r="B491" s="3" t="s">
        <v>17</v>
      </c>
      <c r="C491" s="3" t="s">
        <v>12</v>
      </c>
      <c r="D491" s="3">
        <v>275</v>
      </c>
      <c r="E491" s="3">
        <v>211</v>
      </c>
      <c r="F491" s="3">
        <v>69</v>
      </c>
      <c r="G491" s="3">
        <v>18</v>
      </c>
      <c r="H491" s="3">
        <v>0.76727272727272722</v>
      </c>
      <c r="I491" s="3">
        <v>0.32701421800947872</v>
      </c>
      <c r="J491" s="3">
        <v>0.2608695652173913</v>
      </c>
      <c r="K491" s="3">
        <v>6.545454545454546E-2</v>
      </c>
    </row>
    <row r="492" spans="1:11" x14ac:dyDescent="0.25">
      <c r="A492" s="2">
        <v>45805.24540901502</v>
      </c>
      <c r="B492" s="3" t="s">
        <v>11</v>
      </c>
      <c r="C492" s="3" t="s">
        <v>19</v>
      </c>
      <c r="D492" s="3">
        <v>545</v>
      </c>
      <c r="E492" s="3">
        <v>328</v>
      </c>
      <c r="F492" s="3">
        <v>60</v>
      </c>
      <c r="G492" s="3">
        <v>37</v>
      </c>
      <c r="H492" s="3">
        <v>0.60183486238532113</v>
      </c>
      <c r="I492" s="3">
        <v>0.18292682926829271</v>
      </c>
      <c r="J492" s="3">
        <v>0.6166666666666667</v>
      </c>
      <c r="K492" s="3">
        <v>6.7889908256880738E-2</v>
      </c>
    </row>
    <row r="493" spans="1:11" x14ac:dyDescent="0.25">
      <c r="A493" s="2">
        <v>45805.545909849738</v>
      </c>
      <c r="B493" s="3" t="s">
        <v>15</v>
      </c>
      <c r="C493" s="3" t="s">
        <v>18</v>
      </c>
      <c r="D493" s="3">
        <v>390</v>
      </c>
      <c r="E493" s="3">
        <v>292</v>
      </c>
      <c r="F493" s="3">
        <v>121</v>
      </c>
      <c r="G493" s="3">
        <v>43</v>
      </c>
      <c r="H493" s="3">
        <v>0.74871794871794872</v>
      </c>
      <c r="I493" s="3">
        <v>0.41438356164383561</v>
      </c>
      <c r="J493" s="3">
        <v>0.35537190082644632</v>
      </c>
      <c r="K493" s="3">
        <v>0.11025641025641029</v>
      </c>
    </row>
    <row r="494" spans="1:11" x14ac:dyDescent="0.25">
      <c r="A494" s="2">
        <v>45805.846410684469</v>
      </c>
      <c r="B494" s="3" t="s">
        <v>16</v>
      </c>
      <c r="C494" s="3" t="s">
        <v>18</v>
      </c>
      <c r="D494" s="3">
        <v>341</v>
      </c>
      <c r="E494" s="3">
        <v>225</v>
      </c>
      <c r="F494" s="3">
        <v>101</v>
      </c>
      <c r="G494" s="3">
        <v>52</v>
      </c>
      <c r="H494" s="3">
        <v>0.65982404692082108</v>
      </c>
      <c r="I494" s="3">
        <v>0.44888888888888889</v>
      </c>
      <c r="J494" s="3">
        <v>0.51485148514851486</v>
      </c>
      <c r="K494" s="3">
        <v>0.15249266862170091</v>
      </c>
    </row>
    <row r="495" spans="1:11" x14ac:dyDescent="0.25">
      <c r="A495" s="2">
        <v>45806.146911519187</v>
      </c>
      <c r="B495" s="3" t="s">
        <v>16</v>
      </c>
      <c r="C495" s="3" t="s">
        <v>12</v>
      </c>
      <c r="D495" s="3">
        <v>498</v>
      </c>
      <c r="E495" s="3">
        <v>385</v>
      </c>
      <c r="F495" s="3">
        <v>90</v>
      </c>
      <c r="G495" s="3">
        <v>29</v>
      </c>
      <c r="H495" s="3">
        <v>0.7730923694779116</v>
      </c>
      <c r="I495" s="3">
        <v>0.23376623376623379</v>
      </c>
      <c r="J495" s="3">
        <v>0.32222222222222219</v>
      </c>
      <c r="K495" s="3">
        <v>5.8232931726907633E-2</v>
      </c>
    </row>
    <row r="496" spans="1:11" x14ac:dyDescent="0.25">
      <c r="A496" s="2">
        <v>45806.447412353911</v>
      </c>
      <c r="B496" s="3" t="s">
        <v>15</v>
      </c>
      <c r="C496" s="3" t="s">
        <v>12</v>
      </c>
      <c r="D496" s="3">
        <v>485</v>
      </c>
      <c r="E496" s="3">
        <v>353</v>
      </c>
      <c r="F496" s="3">
        <v>115</v>
      </c>
      <c r="G496" s="3">
        <v>44</v>
      </c>
      <c r="H496" s="3">
        <v>0.72783505154639172</v>
      </c>
      <c r="I496" s="3">
        <v>0.32577903682719539</v>
      </c>
      <c r="J496" s="3">
        <v>0.38260869565217392</v>
      </c>
      <c r="K496" s="3">
        <v>9.0721649484536079E-2</v>
      </c>
    </row>
    <row r="497" spans="1:11" x14ac:dyDescent="0.25">
      <c r="A497" s="2">
        <v>45806.747913188643</v>
      </c>
      <c r="B497" s="3" t="s">
        <v>11</v>
      </c>
      <c r="C497" s="3" t="s">
        <v>12</v>
      </c>
      <c r="D497" s="3">
        <v>222</v>
      </c>
      <c r="E497" s="3">
        <v>159</v>
      </c>
      <c r="F497" s="3">
        <v>32</v>
      </c>
      <c r="G497" s="3">
        <v>6</v>
      </c>
      <c r="H497" s="3">
        <v>0.71621621621621623</v>
      </c>
      <c r="I497" s="3">
        <v>0.20125786163522011</v>
      </c>
      <c r="J497" s="3">
        <v>0.1875</v>
      </c>
      <c r="K497" s="3">
        <v>2.7027027027027029E-2</v>
      </c>
    </row>
    <row r="498" spans="1:11" x14ac:dyDescent="0.25">
      <c r="A498" s="2">
        <v>45807.048414023368</v>
      </c>
      <c r="B498" s="3" t="s">
        <v>15</v>
      </c>
      <c r="C498" s="3" t="s">
        <v>12</v>
      </c>
      <c r="D498" s="3">
        <v>421</v>
      </c>
      <c r="E498" s="3">
        <v>236</v>
      </c>
      <c r="F498" s="3">
        <v>47</v>
      </c>
      <c r="G498" s="3">
        <v>19</v>
      </c>
      <c r="H498" s="3">
        <v>0.56057007125890734</v>
      </c>
      <c r="I498" s="3">
        <v>0.19915254237288141</v>
      </c>
      <c r="J498" s="3">
        <v>0.40425531914893609</v>
      </c>
      <c r="K498" s="3">
        <v>4.5130641330166268E-2</v>
      </c>
    </row>
    <row r="499" spans="1:11" x14ac:dyDescent="0.25">
      <c r="A499" s="2">
        <v>45807.348914858092</v>
      </c>
      <c r="B499" s="3" t="s">
        <v>16</v>
      </c>
      <c r="C499" s="3" t="s">
        <v>12</v>
      </c>
      <c r="D499" s="3">
        <v>395</v>
      </c>
      <c r="E499" s="3">
        <v>312</v>
      </c>
      <c r="F499" s="3">
        <v>126</v>
      </c>
      <c r="G499" s="3">
        <v>57</v>
      </c>
      <c r="H499" s="3">
        <v>0.78987341772151898</v>
      </c>
      <c r="I499" s="3">
        <v>0.40384615384615391</v>
      </c>
      <c r="J499" s="3">
        <v>0.45238095238095238</v>
      </c>
      <c r="K499" s="3">
        <v>0.14430379746835439</v>
      </c>
    </row>
    <row r="500" spans="1:11" x14ac:dyDescent="0.25">
      <c r="A500" s="2">
        <v>45807.649415692809</v>
      </c>
      <c r="B500" s="3" t="s">
        <v>13</v>
      </c>
      <c r="C500" s="3" t="s">
        <v>18</v>
      </c>
      <c r="D500" s="3">
        <v>180</v>
      </c>
      <c r="E500" s="3">
        <v>98</v>
      </c>
      <c r="F500" s="3">
        <v>34</v>
      </c>
      <c r="G500" s="3">
        <v>21</v>
      </c>
      <c r="H500" s="3">
        <v>0.5444444444444444</v>
      </c>
      <c r="I500" s="3">
        <v>0.34693877551020408</v>
      </c>
      <c r="J500" s="3">
        <v>0.61764705882352944</v>
      </c>
      <c r="K500" s="3">
        <v>0.1166666666666667</v>
      </c>
    </row>
    <row r="501" spans="1:11" x14ac:dyDescent="0.25">
      <c r="A501" s="2">
        <v>45807.949916527527</v>
      </c>
      <c r="B501" s="3" t="s">
        <v>13</v>
      </c>
      <c r="C501" s="3" t="s">
        <v>12</v>
      </c>
      <c r="D501" s="3">
        <v>323</v>
      </c>
      <c r="E501" s="3">
        <v>223</v>
      </c>
      <c r="F501" s="3">
        <v>84</v>
      </c>
      <c r="G501" s="3">
        <v>24</v>
      </c>
      <c r="H501" s="3">
        <v>0.69040247678018574</v>
      </c>
      <c r="I501" s="3">
        <v>0.37668161434977582</v>
      </c>
      <c r="J501" s="3">
        <v>0.2857142857142857</v>
      </c>
      <c r="K501" s="3">
        <v>7.4303405572755415E-2</v>
      </c>
    </row>
    <row r="502" spans="1:11" x14ac:dyDescent="0.25">
      <c r="A502" s="2">
        <v>45808.250417362273</v>
      </c>
      <c r="B502" s="3" t="s">
        <v>14</v>
      </c>
      <c r="C502" s="3" t="s">
        <v>12</v>
      </c>
      <c r="D502" s="3">
        <v>569</v>
      </c>
      <c r="E502" s="3">
        <v>426</v>
      </c>
      <c r="F502" s="3">
        <v>110</v>
      </c>
      <c r="G502" s="3">
        <v>61</v>
      </c>
      <c r="H502" s="3">
        <v>0.74868189806678387</v>
      </c>
      <c r="I502" s="3">
        <v>0.25821596244131462</v>
      </c>
      <c r="J502" s="3">
        <v>0.55454545454545456</v>
      </c>
      <c r="K502" s="3">
        <v>0.1072056239015817</v>
      </c>
    </row>
    <row r="503" spans="1:11" x14ac:dyDescent="0.25">
      <c r="A503" s="2">
        <v>45808.55091819699</v>
      </c>
      <c r="B503" s="3" t="s">
        <v>15</v>
      </c>
      <c r="C503" s="3" t="s">
        <v>19</v>
      </c>
      <c r="D503" s="3">
        <v>91</v>
      </c>
      <c r="E503" s="3">
        <v>63</v>
      </c>
      <c r="F503" s="3">
        <v>20</v>
      </c>
      <c r="G503" s="3">
        <v>12</v>
      </c>
      <c r="H503" s="3">
        <v>0.69230769230769229</v>
      </c>
      <c r="I503" s="3">
        <v>0.31746031746031739</v>
      </c>
      <c r="J503" s="3">
        <v>0.6</v>
      </c>
      <c r="K503" s="3">
        <v>0.1318681318681319</v>
      </c>
    </row>
    <row r="504" spans="1:11" x14ac:dyDescent="0.25">
      <c r="A504" s="2">
        <v>45808.851419031707</v>
      </c>
      <c r="B504" s="3" t="s">
        <v>11</v>
      </c>
      <c r="C504" s="3" t="s">
        <v>18</v>
      </c>
      <c r="D504" s="3">
        <v>318</v>
      </c>
      <c r="E504" s="3">
        <v>208</v>
      </c>
      <c r="F504" s="3">
        <v>53</v>
      </c>
      <c r="G504" s="3">
        <v>25</v>
      </c>
      <c r="H504" s="3">
        <v>0.65408805031446537</v>
      </c>
      <c r="I504" s="3">
        <v>0.25480769230769229</v>
      </c>
      <c r="J504" s="3">
        <v>0.47169811320754718</v>
      </c>
      <c r="K504" s="3">
        <v>7.8616352201257858E-2</v>
      </c>
    </row>
    <row r="505" spans="1:11" x14ac:dyDescent="0.25">
      <c r="A505" s="2">
        <v>45809.151919866432</v>
      </c>
      <c r="B505" s="3" t="s">
        <v>17</v>
      </c>
      <c r="C505" s="3" t="s">
        <v>19</v>
      </c>
      <c r="D505" s="3">
        <v>640</v>
      </c>
      <c r="E505" s="3">
        <v>447</v>
      </c>
      <c r="F505" s="3">
        <v>69</v>
      </c>
      <c r="G505" s="3">
        <v>42</v>
      </c>
      <c r="H505" s="3">
        <v>0.69843750000000004</v>
      </c>
      <c r="I505" s="3">
        <v>0.15436241610738249</v>
      </c>
      <c r="J505" s="3">
        <v>0.60869565217391308</v>
      </c>
      <c r="K505" s="3">
        <v>6.5625000000000003E-2</v>
      </c>
    </row>
    <row r="506" spans="1:11" x14ac:dyDescent="0.25">
      <c r="A506" s="2">
        <v>45809.452420701156</v>
      </c>
      <c r="B506" s="3" t="s">
        <v>14</v>
      </c>
      <c r="C506" s="3" t="s">
        <v>19</v>
      </c>
      <c r="D506" s="3">
        <v>121</v>
      </c>
      <c r="E506" s="3">
        <v>75</v>
      </c>
      <c r="F506" s="3">
        <v>29</v>
      </c>
      <c r="G506" s="3">
        <v>17</v>
      </c>
      <c r="H506" s="3">
        <v>0.6198347107438017</v>
      </c>
      <c r="I506" s="3">
        <v>0.38666666666666671</v>
      </c>
      <c r="J506" s="3">
        <v>0.58620689655172409</v>
      </c>
      <c r="K506" s="3">
        <v>0.14049586776859499</v>
      </c>
    </row>
    <row r="507" spans="1:11" x14ac:dyDescent="0.25">
      <c r="A507" s="2">
        <v>45809.752921535888</v>
      </c>
      <c r="B507" s="3" t="s">
        <v>16</v>
      </c>
      <c r="C507" s="3" t="s">
        <v>12</v>
      </c>
      <c r="D507" s="3">
        <v>508</v>
      </c>
      <c r="E507" s="3">
        <v>323</v>
      </c>
      <c r="F507" s="3">
        <v>127</v>
      </c>
      <c r="G507" s="3">
        <v>32</v>
      </c>
      <c r="H507" s="3">
        <v>0.63582677165354329</v>
      </c>
      <c r="I507" s="3">
        <v>0.39318885448916407</v>
      </c>
      <c r="J507" s="3">
        <v>0.25196850393700793</v>
      </c>
      <c r="K507" s="3">
        <v>6.2992125984251968E-2</v>
      </c>
    </row>
    <row r="508" spans="1:11" x14ac:dyDescent="0.25">
      <c r="A508" s="2">
        <v>45810.053422370613</v>
      </c>
      <c r="B508" s="3" t="s">
        <v>17</v>
      </c>
      <c r="C508" s="3" t="s">
        <v>12</v>
      </c>
      <c r="D508" s="3">
        <v>237</v>
      </c>
      <c r="E508" s="3">
        <v>182</v>
      </c>
      <c r="F508" s="3">
        <v>63</v>
      </c>
      <c r="G508" s="3">
        <v>46</v>
      </c>
      <c r="H508" s="3">
        <v>0.76793248945147674</v>
      </c>
      <c r="I508" s="3">
        <v>0.34615384615384609</v>
      </c>
      <c r="J508" s="3">
        <v>0.73015873015873012</v>
      </c>
      <c r="K508" s="3">
        <v>0.1940928270042194</v>
      </c>
    </row>
    <row r="509" spans="1:11" x14ac:dyDescent="0.25">
      <c r="A509" s="2">
        <v>45810.353923205337</v>
      </c>
      <c r="B509" s="3" t="s">
        <v>17</v>
      </c>
      <c r="C509" s="3" t="s">
        <v>18</v>
      </c>
      <c r="D509" s="3">
        <v>295</v>
      </c>
      <c r="E509" s="3">
        <v>185</v>
      </c>
      <c r="F509" s="3">
        <v>35</v>
      </c>
      <c r="G509" s="3">
        <v>14</v>
      </c>
      <c r="H509" s="3">
        <v>0.6271186440677966</v>
      </c>
      <c r="I509" s="3">
        <v>0.1891891891891892</v>
      </c>
      <c r="J509" s="3">
        <v>0.4</v>
      </c>
      <c r="K509" s="3">
        <v>4.7457627118644069E-2</v>
      </c>
    </row>
    <row r="510" spans="1:11" x14ac:dyDescent="0.25">
      <c r="A510" s="2">
        <v>45810.654424040047</v>
      </c>
      <c r="B510" s="3" t="s">
        <v>13</v>
      </c>
      <c r="C510" s="3" t="s">
        <v>18</v>
      </c>
      <c r="D510" s="3">
        <v>541</v>
      </c>
      <c r="E510" s="3">
        <v>348</v>
      </c>
      <c r="F510" s="3">
        <v>73</v>
      </c>
      <c r="G510" s="3">
        <v>33</v>
      </c>
      <c r="H510" s="3">
        <v>0.64325323475046214</v>
      </c>
      <c r="I510" s="3">
        <v>0.2097701149425287</v>
      </c>
      <c r="J510" s="3">
        <v>0.45205479452054792</v>
      </c>
      <c r="K510" s="3">
        <v>6.0998151571164512E-2</v>
      </c>
    </row>
    <row r="511" spans="1:11" x14ac:dyDescent="0.25">
      <c r="A511" s="2">
        <v>45810.954924874779</v>
      </c>
      <c r="B511" s="3" t="s">
        <v>14</v>
      </c>
      <c r="C511" s="3" t="s">
        <v>12</v>
      </c>
      <c r="D511" s="3">
        <v>213</v>
      </c>
      <c r="E511" s="3">
        <v>149</v>
      </c>
      <c r="F511" s="3">
        <v>68</v>
      </c>
      <c r="G511" s="3">
        <v>36</v>
      </c>
      <c r="H511" s="3">
        <v>0.69953051643192488</v>
      </c>
      <c r="I511" s="3">
        <v>0.4563758389261745</v>
      </c>
      <c r="J511" s="3">
        <v>0.52941176470588236</v>
      </c>
      <c r="K511" s="3">
        <v>0.16901408450704231</v>
      </c>
    </row>
    <row r="512" spans="1:11" x14ac:dyDescent="0.25">
      <c r="A512" s="2">
        <v>45811.255425709511</v>
      </c>
      <c r="B512" s="3" t="s">
        <v>15</v>
      </c>
      <c r="C512" s="3" t="s">
        <v>18</v>
      </c>
      <c r="D512" s="3">
        <v>146</v>
      </c>
      <c r="E512" s="3">
        <v>93</v>
      </c>
      <c r="F512" s="3">
        <v>35</v>
      </c>
      <c r="G512" s="3">
        <v>15</v>
      </c>
      <c r="H512" s="3">
        <v>0.63698630136986301</v>
      </c>
      <c r="I512" s="3">
        <v>0.37634408602150538</v>
      </c>
      <c r="J512" s="3">
        <v>0.42857142857142849</v>
      </c>
      <c r="K512" s="3">
        <v>0.1027397260273973</v>
      </c>
    </row>
    <row r="513" spans="1:11" x14ac:dyDescent="0.25">
      <c r="A513" s="2">
        <v>45811.555926544243</v>
      </c>
      <c r="B513" s="3" t="s">
        <v>11</v>
      </c>
      <c r="C513" s="3" t="s">
        <v>12</v>
      </c>
      <c r="D513" s="3">
        <v>86</v>
      </c>
      <c r="E513" s="3">
        <v>61</v>
      </c>
      <c r="F513" s="3">
        <v>18</v>
      </c>
      <c r="G513" s="3">
        <v>9</v>
      </c>
      <c r="H513" s="3">
        <v>0.70930232558139539</v>
      </c>
      <c r="I513" s="3">
        <v>0.29508196721311469</v>
      </c>
      <c r="J513" s="3">
        <v>0.5</v>
      </c>
      <c r="K513" s="3">
        <v>0.10465116279069769</v>
      </c>
    </row>
    <row r="514" spans="1:11" x14ac:dyDescent="0.25">
      <c r="A514" s="2">
        <v>45811.85642737896</v>
      </c>
      <c r="B514" s="3" t="s">
        <v>13</v>
      </c>
      <c r="C514" s="3" t="s">
        <v>12</v>
      </c>
      <c r="D514" s="3">
        <v>605</v>
      </c>
      <c r="E514" s="3">
        <v>451</v>
      </c>
      <c r="F514" s="3">
        <v>141</v>
      </c>
      <c r="G514" s="3">
        <v>60</v>
      </c>
      <c r="H514" s="3">
        <v>0.74545454545454548</v>
      </c>
      <c r="I514" s="3">
        <v>0.31263858093126379</v>
      </c>
      <c r="J514" s="3">
        <v>0.42553191489361702</v>
      </c>
      <c r="K514" s="3">
        <v>9.9173553719008267E-2</v>
      </c>
    </row>
    <row r="515" spans="1:11" x14ac:dyDescent="0.25">
      <c r="A515" s="2">
        <v>45812.156928213677</v>
      </c>
      <c r="B515" s="3" t="s">
        <v>17</v>
      </c>
      <c r="C515" s="3" t="s">
        <v>12</v>
      </c>
      <c r="D515" s="3">
        <v>152</v>
      </c>
      <c r="E515" s="3">
        <v>117</v>
      </c>
      <c r="F515" s="3">
        <v>32</v>
      </c>
      <c r="G515" s="3">
        <v>15</v>
      </c>
      <c r="H515" s="3">
        <v>0.76973684210526316</v>
      </c>
      <c r="I515" s="3">
        <v>0.27350427350427348</v>
      </c>
      <c r="J515" s="3">
        <v>0.46875</v>
      </c>
      <c r="K515" s="3">
        <v>9.8684210526315791E-2</v>
      </c>
    </row>
    <row r="516" spans="1:11" x14ac:dyDescent="0.25">
      <c r="A516" s="2">
        <v>45812.457429048402</v>
      </c>
      <c r="B516" s="3" t="s">
        <v>16</v>
      </c>
      <c r="C516" s="3" t="s">
        <v>18</v>
      </c>
      <c r="D516" s="3">
        <v>478</v>
      </c>
      <c r="E516" s="3">
        <v>314</v>
      </c>
      <c r="F516" s="3">
        <v>87</v>
      </c>
      <c r="G516" s="3">
        <v>26</v>
      </c>
      <c r="H516" s="3">
        <v>0.65690376569037656</v>
      </c>
      <c r="I516" s="3">
        <v>0.27707006369426751</v>
      </c>
      <c r="J516" s="3">
        <v>0.2988505747126437</v>
      </c>
      <c r="K516" s="3">
        <v>5.4393305439330547E-2</v>
      </c>
    </row>
    <row r="517" spans="1:11" x14ac:dyDescent="0.25">
      <c r="A517" s="2">
        <v>45812.757929883133</v>
      </c>
      <c r="B517" s="3" t="s">
        <v>16</v>
      </c>
      <c r="C517" s="3" t="s">
        <v>18</v>
      </c>
      <c r="D517" s="3">
        <v>484</v>
      </c>
      <c r="E517" s="3">
        <v>365</v>
      </c>
      <c r="F517" s="3">
        <v>130</v>
      </c>
      <c r="G517" s="3">
        <v>69</v>
      </c>
      <c r="H517" s="3">
        <v>0.75413223140495866</v>
      </c>
      <c r="I517" s="3">
        <v>0.35616438356164382</v>
      </c>
      <c r="J517" s="3">
        <v>0.53076923076923077</v>
      </c>
      <c r="K517" s="3">
        <v>0.1425619834710744</v>
      </c>
    </row>
    <row r="518" spans="1:11" x14ac:dyDescent="0.25">
      <c r="A518" s="2">
        <v>45813.058430717858</v>
      </c>
      <c r="B518" s="3" t="s">
        <v>11</v>
      </c>
      <c r="C518" s="3" t="s">
        <v>12</v>
      </c>
      <c r="D518" s="3">
        <v>209</v>
      </c>
      <c r="E518" s="3">
        <v>155</v>
      </c>
      <c r="F518" s="3">
        <v>60</v>
      </c>
      <c r="G518" s="3">
        <v>18</v>
      </c>
      <c r="H518" s="3">
        <v>0.74162679425837319</v>
      </c>
      <c r="I518" s="3">
        <v>0.38709677419354838</v>
      </c>
      <c r="J518" s="3">
        <v>0.3</v>
      </c>
      <c r="K518" s="3">
        <v>8.6124401913875603E-2</v>
      </c>
    </row>
    <row r="519" spans="1:11" x14ac:dyDescent="0.25">
      <c r="A519" s="2">
        <v>45813.358931552582</v>
      </c>
      <c r="B519" s="3" t="s">
        <v>17</v>
      </c>
      <c r="C519" s="3" t="s">
        <v>18</v>
      </c>
      <c r="D519" s="3">
        <v>545</v>
      </c>
      <c r="E519" s="3">
        <v>438</v>
      </c>
      <c r="F519" s="3">
        <v>93</v>
      </c>
      <c r="G519" s="3">
        <v>40</v>
      </c>
      <c r="H519" s="3">
        <v>0.80366972477064225</v>
      </c>
      <c r="I519" s="3">
        <v>0.21232876712328769</v>
      </c>
      <c r="J519" s="3">
        <v>0.43010752688172038</v>
      </c>
      <c r="K519" s="3">
        <v>7.3394495412844041E-2</v>
      </c>
    </row>
    <row r="520" spans="1:11" x14ac:dyDescent="0.25">
      <c r="A520" s="2">
        <v>45813.6594323873</v>
      </c>
      <c r="B520" s="3" t="s">
        <v>13</v>
      </c>
      <c r="C520" s="3" t="s">
        <v>12</v>
      </c>
      <c r="D520" s="3">
        <v>285</v>
      </c>
      <c r="E520" s="3">
        <v>158</v>
      </c>
      <c r="F520" s="3">
        <v>61</v>
      </c>
      <c r="G520" s="3">
        <v>19</v>
      </c>
      <c r="H520" s="3">
        <v>0.55438596491228065</v>
      </c>
      <c r="I520" s="3">
        <v>0.38607594936708861</v>
      </c>
      <c r="J520" s="3">
        <v>0.31147540983606559</v>
      </c>
      <c r="K520" s="3">
        <v>6.6666666666666666E-2</v>
      </c>
    </row>
    <row r="521" spans="1:11" x14ac:dyDescent="0.25">
      <c r="A521" s="2">
        <v>45813.959933222017</v>
      </c>
      <c r="B521" s="3" t="s">
        <v>16</v>
      </c>
      <c r="C521" s="3" t="s">
        <v>12</v>
      </c>
      <c r="D521" s="3">
        <v>345</v>
      </c>
      <c r="E521" s="3">
        <v>209</v>
      </c>
      <c r="F521" s="3">
        <v>74</v>
      </c>
      <c r="G521" s="3">
        <v>17</v>
      </c>
      <c r="H521" s="3">
        <v>0.60579710144927534</v>
      </c>
      <c r="I521" s="3">
        <v>0.35406698564593297</v>
      </c>
      <c r="J521" s="3">
        <v>0.22972972972972969</v>
      </c>
      <c r="K521" s="3">
        <v>4.9275362318840582E-2</v>
      </c>
    </row>
    <row r="522" spans="1:11" x14ac:dyDescent="0.25">
      <c r="A522" s="2">
        <v>45814.260434056763</v>
      </c>
      <c r="B522" s="3" t="s">
        <v>15</v>
      </c>
      <c r="C522" s="3" t="s">
        <v>18</v>
      </c>
      <c r="D522" s="3">
        <v>616</v>
      </c>
      <c r="E522" s="3">
        <v>417</v>
      </c>
      <c r="F522" s="3">
        <v>93</v>
      </c>
      <c r="G522" s="3">
        <v>54</v>
      </c>
      <c r="H522" s="3">
        <v>0.67694805194805197</v>
      </c>
      <c r="I522" s="3">
        <v>0.22302158273381301</v>
      </c>
      <c r="J522" s="3">
        <v>0.58064516129032262</v>
      </c>
      <c r="K522" s="3">
        <v>8.7662337662337664E-2</v>
      </c>
    </row>
    <row r="523" spans="1:11" x14ac:dyDescent="0.25">
      <c r="A523" s="2">
        <v>45814.56093489148</v>
      </c>
      <c r="B523" s="3" t="s">
        <v>11</v>
      </c>
      <c r="C523" s="3" t="s">
        <v>19</v>
      </c>
      <c r="D523" s="3">
        <v>332</v>
      </c>
      <c r="E523" s="3">
        <v>254</v>
      </c>
      <c r="F523" s="3">
        <v>97</v>
      </c>
      <c r="G523" s="3">
        <v>43</v>
      </c>
      <c r="H523" s="3">
        <v>0.76506024096385539</v>
      </c>
      <c r="I523" s="3">
        <v>0.38188976377952749</v>
      </c>
      <c r="J523" s="3">
        <v>0.44329896907216487</v>
      </c>
      <c r="K523" s="3">
        <v>0.1295180722891566</v>
      </c>
    </row>
    <row r="524" spans="1:11" x14ac:dyDescent="0.25">
      <c r="A524" s="2">
        <v>45814.861435726198</v>
      </c>
      <c r="B524" s="3" t="s">
        <v>13</v>
      </c>
      <c r="C524" s="3" t="s">
        <v>18</v>
      </c>
      <c r="D524" s="3">
        <v>368</v>
      </c>
      <c r="E524" s="3">
        <v>286</v>
      </c>
      <c r="F524" s="3">
        <v>54</v>
      </c>
      <c r="G524" s="3">
        <v>28</v>
      </c>
      <c r="H524" s="3">
        <v>0.77717391304347827</v>
      </c>
      <c r="I524" s="3">
        <v>0.1888111888111888</v>
      </c>
      <c r="J524" s="3">
        <v>0.51851851851851849</v>
      </c>
      <c r="K524" s="3">
        <v>7.6086956521739135E-2</v>
      </c>
    </row>
    <row r="525" spans="1:11" x14ac:dyDescent="0.25">
      <c r="A525" s="2">
        <v>45815.161936560929</v>
      </c>
      <c r="B525" s="3" t="s">
        <v>17</v>
      </c>
      <c r="C525" s="3" t="s">
        <v>18</v>
      </c>
      <c r="D525" s="3">
        <v>243</v>
      </c>
      <c r="E525" s="3">
        <v>173</v>
      </c>
      <c r="F525" s="3">
        <v>54</v>
      </c>
      <c r="G525" s="3">
        <v>31</v>
      </c>
      <c r="H525" s="3">
        <v>0.7119341563786008</v>
      </c>
      <c r="I525" s="3">
        <v>0.31213872832369938</v>
      </c>
      <c r="J525" s="3">
        <v>0.57407407407407407</v>
      </c>
      <c r="K525" s="3">
        <v>0.12757201646090541</v>
      </c>
    </row>
    <row r="526" spans="1:11" x14ac:dyDescent="0.25">
      <c r="A526" s="2">
        <v>45815.462437395647</v>
      </c>
      <c r="B526" s="3" t="s">
        <v>17</v>
      </c>
      <c r="C526" s="3" t="s">
        <v>18</v>
      </c>
      <c r="D526" s="3">
        <v>174</v>
      </c>
      <c r="E526" s="3">
        <v>97</v>
      </c>
      <c r="F526" s="3">
        <v>52</v>
      </c>
      <c r="G526" s="3">
        <v>17</v>
      </c>
      <c r="H526" s="3">
        <v>0.55747126436781613</v>
      </c>
      <c r="I526" s="3">
        <v>0.53608247422680411</v>
      </c>
      <c r="J526" s="3">
        <v>0.32692307692307693</v>
      </c>
      <c r="K526" s="3">
        <v>9.7701149425287362E-2</v>
      </c>
    </row>
    <row r="527" spans="1:11" x14ac:dyDescent="0.25">
      <c r="A527" s="2">
        <v>45815.762938230378</v>
      </c>
      <c r="B527" s="3" t="s">
        <v>15</v>
      </c>
      <c r="C527" s="3" t="s">
        <v>12</v>
      </c>
      <c r="D527" s="3">
        <v>189</v>
      </c>
      <c r="E527" s="3">
        <v>132</v>
      </c>
      <c r="F527" s="3">
        <v>34</v>
      </c>
      <c r="G527" s="3">
        <v>17</v>
      </c>
      <c r="H527" s="3">
        <v>0.69841269841269837</v>
      </c>
      <c r="I527" s="3">
        <v>0.25757575757575762</v>
      </c>
      <c r="J527" s="3">
        <v>0.5</v>
      </c>
      <c r="K527" s="3">
        <v>8.9947089947089942E-2</v>
      </c>
    </row>
    <row r="528" spans="1:11" x14ac:dyDescent="0.25">
      <c r="A528" s="2">
        <v>45816.063439065103</v>
      </c>
      <c r="B528" s="3" t="s">
        <v>11</v>
      </c>
      <c r="C528" s="3" t="s">
        <v>12</v>
      </c>
      <c r="D528" s="3">
        <v>415</v>
      </c>
      <c r="E528" s="3">
        <v>254</v>
      </c>
      <c r="F528" s="3">
        <v>90</v>
      </c>
      <c r="G528" s="3">
        <v>42</v>
      </c>
      <c r="H528" s="3">
        <v>0.61204819277108435</v>
      </c>
      <c r="I528" s="3">
        <v>0.3543307086614173</v>
      </c>
      <c r="J528" s="3">
        <v>0.46666666666666667</v>
      </c>
      <c r="K528" s="3">
        <v>0.10120481927710839</v>
      </c>
    </row>
    <row r="529" spans="1:11" x14ac:dyDescent="0.25">
      <c r="A529" s="2">
        <v>45816.363939899828</v>
      </c>
      <c r="B529" s="3" t="s">
        <v>16</v>
      </c>
      <c r="C529" s="3" t="s">
        <v>12</v>
      </c>
      <c r="D529" s="3">
        <v>317</v>
      </c>
      <c r="E529" s="3">
        <v>186</v>
      </c>
      <c r="F529" s="3">
        <v>51</v>
      </c>
      <c r="G529" s="3">
        <v>30</v>
      </c>
      <c r="H529" s="3">
        <v>0.58675078864353314</v>
      </c>
      <c r="I529" s="3">
        <v>0.27419354838709681</v>
      </c>
      <c r="J529" s="3">
        <v>0.58823529411764708</v>
      </c>
      <c r="K529" s="3">
        <v>9.4637223974763401E-2</v>
      </c>
    </row>
    <row r="530" spans="1:11" x14ac:dyDescent="0.25">
      <c r="A530" s="2">
        <v>45816.664440734552</v>
      </c>
      <c r="B530" s="3" t="s">
        <v>16</v>
      </c>
      <c r="C530" s="3" t="s">
        <v>12</v>
      </c>
      <c r="D530" s="3">
        <v>460</v>
      </c>
      <c r="E530" s="3">
        <v>344</v>
      </c>
      <c r="F530" s="3">
        <v>99</v>
      </c>
      <c r="G530" s="3">
        <v>43</v>
      </c>
      <c r="H530" s="3">
        <v>0.74782608695652175</v>
      </c>
      <c r="I530" s="3">
        <v>0.28779069767441862</v>
      </c>
      <c r="J530" s="3">
        <v>0.43434343434343442</v>
      </c>
      <c r="K530" s="3">
        <v>9.3478260869565219E-2</v>
      </c>
    </row>
    <row r="531" spans="1:11" x14ac:dyDescent="0.25">
      <c r="A531" s="2">
        <v>45816.964941569269</v>
      </c>
      <c r="B531" s="3" t="s">
        <v>17</v>
      </c>
      <c r="C531" s="3" t="s">
        <v>12</v>
      </c>
      <c r="D531" s="3">
        <v>515</v>
      </c>
      <c r="E531" s="3">
        <v>398</v>
      </c>
      <c r="F531" s="3">
        <v>127</v>
      </c>
      <c r="G531" s="3">
        <v>69</v>
      </c>
      <c r="H531" s="3">
        <v>0.77281553398058256</v>
      </c>
      <c r="I531" s="3">
        <v>0.31909547738693472</v>
      </c>
      <c r="J531" s="3">
        <v>0.54330708661417326</v>
      </c>
      <c r="K531" s="3">
        <v>0.13398058252427181</v>
      </c>
    </row>
    <row r="532" spans="1:11" x14ac:dyDescent="0.25">
      <c r="A532" s="2">
        <v>45817.265442404001</v>
      </c>
      <c r="B532" s="3" t="s">
        <v>17</v>
      </c>
      <c r="C532" s="3" t="s">
        <v>18</v>
      </c>
      <c r="D532" s="3">
        <v>562</v>
      </c>
      <c r="E532" s="3">
        <v>306</v>
      </c>
      <c r="F532" s="3">
        <v>102</v>
      </c>
      <c r="G532" s="3">
        <v>50</v>
      </c>
      <c r="H532" s="3">
        <v>0.54448398576512458</v>
      </c>
      <c r="I532" s="3">
        <v>0.33333333333333331</v>
      </c>
      <c r="J532" s="3">
        <v>0.49019607843137247</v>
      </c>
      <c r="K532" s="3">
        <v>8.8967971530249115E-2</v>
      </c>
    </row>
    <row r="533" spans="1:11" x14ac:dyDescent="0.25">
      <c r="A533" s="2">
        <v>45817.565943238733</v>
      </c>
      <c r="B533" s="3" t="s">
        <v>13</v>
      </c>
      <c r="C533" s="3" t="s">
        <v>12</v>
      </c>
      <c r="D533" s="3">
        <v>104</v>
      </c>
      <c r="E533" s="3">
        <v>69</v>
      </c>
      <c r="F533" s="3">
        <v>15</v>
      </c>
      <c r="G533" s="3">
        <v>10</v>
      </c>
      <c r="H533" s="3">
        <v>0.66346153846153844</v>
      </c>
      <c r="I533" s="3">
        <v>0.21739130434782611</v>
      </c>
      <c r="J533" s="3">
        <v>0.66666666666666663</v>
      </c>
      <c r="K533" s="3">
        <v>9.6153846153846159E-2</v>
      </c>
    </row>
    <row r="534" spans="1:11" x14ac:dyDescent="0.25">
      <c r="A534" s="2">
        <v>45817.86644407345</v>
      </c>
      <c r="B534" s="3" t="s">
        <v>13</v>
      </c>
      <c r="C534" s="3" t="s">
        <v>12</v>
      </c>
      <c r="D534" s="3">
        <v>196</v>
      </c>
      <c r="E534" s="3">
        <v>137</v>
      </c>
      <c r="F534" s="3">
        <v>53</v>
      </c>
      <c r="G534" s="3">
        <v>29</v>
      </c>
      <c r="H534" s="3">
        <v>0.69897959183673475</v>
      </c>
      <c r="I534" s="3">
        <v>0.38686131386861322</v>
      </c>
      <c r="J534" s="3">
        <v>0.54716981132075471</v>
      </c>
      <c r="K534" s="3">
        <v>0.14795918367346941</v>
      </c>
    </row>
    <row r="535" spans="1:11" x14ac:dyDescent="0.25">
      <c r="A535" s="2">
        <v>45818.166944908167</v>
      </c>
      <c r="B535" s="3" t="s">
        <v>15</v>
      </c>
      <c r="C535" s="3" t="s">
        <v>12</v>
      </c>
      <c r="D535" s="3">
        <v>561</v>
      </c>
      <c r="E535" s="3">
        <v>358</v>
      </c>
      <c r="F535" s="3">
        <v>121</v>
      </c>
      <c r="G535" s="3">
        <v>46</v>
      </c>
      <c r="H535" s="3">
        <v>0.6381461675579323</v>
      </c>
      <c r="I535" s="3">
        <v>0.33798882681564252</v>
      </c>
      <c r="J535" s="3">
        <v>0.38016528925619841</v>
      </c>
      <c r="K535" s="3">
        <v>8.1996434937611412E-2</v>
      </c>
    </row>
    <row r="536" spans="1:11" x14ac:dyDescent="0.25">
      <c r="A536" s="2">
        <v>45818.467445742892</v>
      </c>
      <c r="B536" s="3" t="s">
        <v>17</v>
      </c>
      <c r="C536" s="3" t="s">
        <v>18</v>
      </c>
      <c r="D536" s="3">
        <v>471</v>
      </c>
      <c r="E536" s="3">
        <v>357</v>
      </c>
      <c r="F536" s="3">
        <v>101</v>
      </c>
      <c r="G536" s="3">
        <v>45</v>
      </c>
      <c r="H536" s="3">
        <v>0.7579617834394905</v>
      </c>
      <c r="I536" s="3">
        <v>0.28291316526610638</v>
      </c>
      <c r="J536" s="3">
        <v>0.44554455445544561</v>
      </c>
      <c r="K536" s="3">
        <v>9.5541401273885357E-2</v>
      </c>
    </row>
    <row r="537" spans="1:11" x14ac:dyDescent="0.25">
      <c r="A537" s="2">
        <v>45818.767946577631</v>
      </c>
      <c r="B537" s="3" t="s">
        <v>13</v>
      </c>
      <c r="C537" s="3" t="s">
        <v>12</v>
      </c>
      <c r="D537" s="3">
        <v>616</v>
      </c>
      <c r="E537" s="3">
        <v>387</v>
      </c>
      <c r="F537" s="3">
        <v>163</v>
      </c>
      <c r="G537" s="3">
        <v>94</v>
      </c>
      <c r="H537" s="3">
        <v>0.62824675324675328</v>
      </c>
      <c r="I537" s="3">
        <v>0.42118863049095612</v>
      </c>
      <c r="J537" s="3">
        <v>0.57668711656441718</v>
      </c>
      <c r="K537" s="3">
        <v>0.15259740259740259</v>
      </c>
    </row>
    <row r="538" spans="1:11" x14ac:dyDescent="0.25">
      <c r="A538" s="2">
        <v>45819.068447412348</v>
      </c>
      <c r="B538" s="3" t="s">
        <v>17</v>
      </c>
      <c r="C538" s="3" t="s">
        <v>18</v>
      </c>
      <c r="D538" s="3">
        <v>158</v>
      </c>
      <c r="E538" s="3">
        <v>98</v>
      </c>
      <c r="F538" s="3">
        <v>19</v>
      </c>
      <c r="G538" s="3">
        <v>5</v>
      </c>
      <c r="H538" s="3">
        <v>0.620253164556962</v>
      </c>
      <c r="I538" s="3">
        <v>0.19387755102040821</v>
      </c>
      <c r="J538" s="3">
        <v>0.26315789473684209</v>
      </c>
      <c r="K538" s="3">
        <v>3.1645569620253167E-2</v>
      </c>
    </row>
    <row r="539" spans="1:11" x14ac:dyDescent="0.25">
      <c r="A539" s="2">
        <v>45819.368948247073</v>
      </c>
      <c r="B539" s="3" t="s">
        <v>16</v>
      </c>
      <c r="C539" s="3" t="s">
        <v>12</v>
      </c>
      <c r="D539" s="3">
        <v>252</v>
      </c>
      <c r="E539" s="3">
        <v>202</v>
      </c>
      <c r="F539" s="3">
        <v>48</v>
      </c>
      <c r="G539" s="3">
        <v>20</v>
      </c>
      <c r="H539" s="3">
        <v>0.80158730158730163</v>
      </c>
      <c r="I539" s="3">
        <v>0.23762376237623761</v>
      </c>
      <c r="J539" s="3">
        <v>0.41666666666666669</v>
      </c>
      <c r="K539" s="3">
        <v>7.9365079365079361E-2</v>
      </c>
    </row>
    <row r="540" spans="1:11" x14ac:dyDescent="0.25">
      <c r="A540" s="2">
        <v>45819.669449081797</v>
      </c>
      <c r="B540" s="3" t="s">
        <v>11</v>
      </c>
      <c r="C540" s="3" t="s">
        <v>12</v>
      </c>
      <c r="D540" s="3">
        <v>91</v>
      </c>
      <c r="E540" s="3">
        <v>65</v>
      </c>
      <c r="F540" s="3">
        <v>10</v>
      </c>
      <c r="G540" s="3">
        <v>7</v>
      </c>
      <c r="H540" s="3">
        <v>0.7142857142857143</v>
      </c>
      <c r="I540" s="3">
        <v>0.15384615384615391</v>
      </c>
      <c r="J540" s="3">
        <v>0.7</v>
      </c>
      <c r="K540" s="3">
        <v>7.6923076923076927E-2</v>
      </c>
    </row>
    <row r="541" spans="1:11" x14ac:dyDescent="0.25">
      <c r="A541" s="2">
        <v>45819.969949916507</v>
      </c>
      <c r="B541" s="3" t="s">
        <v>16</v>
      </c>
      <c r="C541" s="3" t="s">
        <v>18</v>
      </c>
      <c r="D541" s="3">
        <v>207</v>
      </c>
      <c r="E541" s="3">
        <v>130</v>
      </c>
      <c r="F541" s="3">
        <v>18</v>
      </c>
      <c r="G541" s="3">
        <v>9</v>
      </c>
      <c r="H541" s="3">
        <v>0.6280193236714976</v>
      </c>
      <c r="I541" s="3">
        <v>0.1384615384615385</v>
      </c>
      <c r="J541" s="3">
        <v>0.5</v>
      </c>
      <c r="K541" s="3">
        <v>4.3478260869565223E-2</v>
      </c>
    </row>
    <row r="542" spans="1:11" x14ac:dyDescent="0.25">
      <c r="A542" s="2">
        <v>45820.270450751254</v>
      </c>
      <c r="B542" s="3" t="s">
        <v>13</v>
      </c>
      <c r="C542" s="3" t="s">
        <v>18</v>
      </c>
      <c r="D542" s="3">
        <v>171</v>
      </c>
      <c r="E542" s="3">
        <v>123</v>
      </c>
      <c r="F542" s="3">
        <v>26</v>
      </c>
      <c r="G542" s="3">
        <v>13</v>
      </c>
      <c r="H542" s="3">
        <v>0.7192982456140351</v>
      </c>
      <c r="I542" s="3">
        <v>0.2113821138211382</v>
      </c>
      <c r="J542" s="3">
        <v>0.5</v>
      </c>
      <c r="K542" s="3">
        <v>7.6023391812865493E-2</v>
      </c>
    </row>
    <row r="543" spans="1:11" x14ac:dyDescent="0.25">
      <c r="A543" s="2">
        <v>45820.570951585971</v>
      </c>
      <c r="B543" s="3" t="s">
        <v>15</v>
      </c>
      <c r="C543" s="3" t="s">
        <v>12</v>
      </c>
      <c r="D543" s="3">
        <v>622</v>
      </c>
      <c r="E543" s="3">
        <v>470</v>
      </c>
      <c r="F543" s="3">
        <v>139</v>
      </c>
      <c r="G543" s="3">
        <v>77</v>
      </c>
      <c r="H543" s="3">
        <v>0.75562700964630225</v>
      </c>
      <c r="I543" s="3">
        <v>0.29574468085106381</v>
      </c>
      <c r="J543" s="3">
        <v>0.5539568345323741</v>
      </c>
      <c r="K543" s="3">
        <v>0.1237942122186495</v>
      </c>
    </row>
    <row r="544" spans="1:11" x14ac:dyDescent="0.25">
      <c r="A544" s="2">
        <v>45820.871452420703</v>
      </c>
      <c r="B544" s="3" t="s">
        <v>16</v>
      </c>
      <c r="C544" s="3" t="s">
        <v>18</v>
      </c>
      <c r="D544" s="3">
        <v>611</v>
      </c>
      <c r="E544" s="3">
        <v>438</v>
      </c>
      <c r="F544" s="3">
        <v>120</v>
      </c>
      <c r="G544" s="3">
        <v>74</v>
      </c>
      <c r="H544" s="3">
        <v>0.7168576104746317</v>
      </c>
      <c r="I544" s="3">
        <v>0.27397260273972601</v>
      </c>
      <c r="J544" s="3">
        <v>0.6166666666666667</v>
      </c>
      <c r="K544" s="3">
        <v>0.1211129296235679</v>
      </c>
    </row>
    <row r="545" spans="1:11" x14ac:dyDescent="0.25">
      <c r="A545" s="2">
        <v>45821.17195325542</v>
      </c>
      <c r="B545" s="3" t="s">
        <v>14</v>
      </c>
      <c r="C545" s="3" t="s">
        <v>12</v>
      </c>
      <c r="D545" s="3">
        <v>526</v>
      </c>
      <c r="E545" s="3">
        <v>319</v>
      </c>
      <c r="F545" s="3">
        <v>91</v>
      </c>
      <c r="G545" s="3">
        <v>43</v>
      </c>
      <c r="H545" s="3">
        <v>0.60646387832699622</v>
      </c>
      <c r="I545" s="3">
        <v>0.28526645768025077</v>
      </c>
      <c r="J545" s="3">
        <v>0.47252747252747251</v>
      </c>
      <c r="K545" s="3">
        <v>8.17490494296578E-2</v>
      </c>
    </row>
    <row r="546" spans="1:11" x14ac:dyDescent="0.25">
      <c r="A546" s="2">
        <v>45821.472454090137</v>
      </c>
      <c r="B546" s="3" t="s">
        <v>15</v>
      </c>
      <c r="C546" s="3" t="s">
        <v>12</v>
      </c>
      <c r="D546" s="3">
        <v>469</v>
      </c>
      <c r="E546" s="3">
        <v>288</v>
      </c>
      <c r="F546" s="3">
        <v>57</v>
      </c>
      <c r="G546" s="3">
        <v>39</v>
      </c>
      <c r="H546" s="3">
        <v>0.61407249466950964</v>
      </c>
      <c r="I546" s="3">
        <v>0.19791666666666671</v>
      </c>
      <c r="J546" s="3">
        <v>0.68421052631578949</v>
      </c>
      <c r="K546" s="3">
        <v>8.3155650319829424E-2</v>
      </c>
    </row>
    <row r="547" spans="1:11" x14ac:dyDescent="0.25">
      <c r="A547" s="2">
        <v>45821.772954924883</v>
      </c>
      <c r="B547" s="3" t="s">
        <v>11</v>
      </c>
      <c r="C547" s="3" t="s">
        <v>18</v>
      </c>
      <c r="D547" s="3">
        <v>122</v>
      </c>
      <c r="E547" s="3">
        <v>85</v>
      </c>
      <c r="F547" s="3">
        <v>28</v>
      </c>
      <c r="G547" s="3">
        <v>13</v>
      </c>
      <c r="H547" s="3">
        <v>0.69672131147540983</v>
      </c>
      <c r="I547" s="3">
        <v>0.32941176470588229</v>
      </c>
      <c r="J547" s="3">
        <v>0.4642857142857143</v>
      </c>
      <c r="K547" s="3">
        <v>0.10655737704918029</v>
      </c>
    </row>
    <row r="548" spans="1:11" x14ac:dyDescent="0.25">
      <c r="A548" s="2">
        <v>45822.073455759593</v>
      </c>
      <c r="B548" s="3" t="s">
        <v>16</v>
      </c>
      <c r="C548" s="3" t="s">
        <v>18</v>
      </c>
      <c r="D548" s="3">
        <v>333</v>
      </c>
      <c r="E548" s="3">
        <v>239</v>
      </c>
      <c r="F548" s="3">
        <v>51</v>
      </c>
      <c r="G548" s="3">
        <v>18</v>
      </c>
      <c r="H548" s="3">
        <v>0.71771771771771775</v>
      </c>
      <c r="I548" s="3">
        <v>0.21338912133891211</v>
      </c>
      <c r="J548" s="3">
        <v>0.35294117647058831</v>
      </c>
      <c r="K548" s="3">
        <v>5.4054054054054057E-2</v>
      </c>
    </row>
    <row r="549" spans="1:11" x14ac:dyDescent="0.25">
      <c r="A549" s="2">
        <v>45822.373956594318</v>
      </c>
      <c r="B549" s="3" t="s">
        <v>14</v>
      </c>
      <c r="C549" s="3" t="s">
        <v>18</v>
      </c>
      <c r="D549" s="3">
        <v>209</v>
      </c>
      <c r="E549" s="3">
        <v>130</v>
      </c>
      <c r="F549" s="3">
        <v>26</v>
      </c>
      <c r="G549" s="3">
        <v>13</v>
      </c>
      <c r="H549" s="3">
        <v>0.62200956937799046</v>
      </c>
      <c r="I549" s="3">
        <v>0.2</v>
      </c>
      <c r="J549" s="3">
        <v>0.5</v>
      </c>
      <c r="K549" s="3">
        <v>6.2200956937799042E-2</v>
      </c>
    </row>
    <row r="550" spans="1:11" x14ac:dyDescent="0.25">
      <c r="A550" s="2">
        <v>45822.674457429042</v>
      </c>
      <c r="B550" s="3" t="s">
        <v>15</v>
      </c>
      <c r="C550" s="3" t="s">
        <v>18</v>
      </c>
      <c r="D550" s="3">
        <v>139</v>
      </c>
      <c r="E550" s="3">
        <v>93</v>
      </c>
      <c r="F550" s="3">
        <v>37</v>
      </c>
      <c r="G550" s="3">
        <v>16</v>
      </c>
      <c r="H550" s="3">
        <v>0.6690647482014388</v>
      </c>
      <c r="I550" s="3">
        <v>0.39784946236559138</v>
      </c>
      <c r="J550" s="3">
        <v>0.43243243243243251</v>
      </c>
      <c r="K550" s="3">
        <v>0.1151079136690648</v>
      </c>
    </row>
    <row r="551" spans="1:11" x14ac:dyDescent="0.25">
      <c r="A551" s="2">
        <v>45822.97495826376</v>
      </c>
      <c r="B551" s="3" t="s">
        <v>17</v>
      </c>
      <c r="C551" s="3" t="s">
        <v>18</v>
      </c>
      <c r="D551" s="3">
        <v>546</v>
      </c>
      <c r="E551" s="3">
        <v>403</v>
      </c>
      <c r="F551" s="3">
        <v>102</v>
      </c>
      <c r="G551" s="3">
        <v>35</v>
      </c>
      <c r="H551" s="3">
        <v>0.73809523809523814</v>
      </c>
      <c r="I551" s="3">
        <v>0.25310173697270472</v>
      </c>
      <c r="J551" s="3">
        <v>0.34313725490196079</v>
      </c>
      <c r="K551" s="3">
        <v>6.4102564102564097E-2</v>
      </c>
    </row>
    <row r="552" spans="1:11" x14ac:dyDescent="0.25">
      <c r="A552" s="2">
        <v>45823.275459098499</v>
      </c>
      <c r="B552" s="3" t="s">
        <v>15</v>
      </c>
      <c r="C552" s="3" t="s">
        <v>18</v>
      </c>
      <c r="D552" s="3">
        <v>366</v>
      </c>
      <c r="E552" s="3">
        <v>219</v>
      </c>
      <c r="F552" s="3">
        <v>77</v>
      </c>
      <c r="G552" s="3">
        <v>30</v>
      </c>
      <c r="H552" s="3">
        <v>0.59836065573770492</v>
      </c>
      <c r="I552" s="3">
        <v>0.35159817351598172</v>
      </c>
      <c r="J552" s="3">
        <v>0.38961038961038957</v>
      </c>
      <c r="K552" s="3">
        <v>8.1967213114754092E-2</v>
      </c>
    </row>
    <row r="553" spans="1:11" x14ac:dyDescent="0.25">
      <c r="A553" s="2">
        <v>45823.575959933223</v>
      </c>
      <c r="B553" s="3" t="s">
        <v>17</v>
      </c>
      <c r="C553" s="3" t="s">
        <v>18</v>
      </c>
      <c r="D553" s="3">
        <v>596</v>
      </c>
      <c r="E553" s="3">
        <v>477</v>
      </c>
      <c r="F553" s="3">
        <v>81</v>
      </c>
      <c r="G553" s="3">
        <v>37</v>
      </c>
      <c r="H553" s="3">
        <v>0.80033557046979864</v>
      </c>
      <c r="I553" s="3">
        <v>0.169811320754717</v>
      </c>
      <c r="J553" s="3">
        <v>0.4567901234567901</v>
      </c>
      <c r="K553" s="3">
        <v>6.2080536912751678E-2</v>
      </c>
    </row>
    <row r="554" spans="1:11" x14ac:dyDescent="0.25">
      <c r="A554" s="2">
        <v>45823.87646076794</v>
      </c>
      <c r="B554" s="3" t="s">
        <v>15</v>
      </c>
      <c r="C554" s="3" t="s">
        <v>18</v>
      </c>
      <c r="D554" s="3">
        <v>546</v>
      </c>
      <c r="E554" s="3">
        <v>419</v>
      </c>
      <c r="F554" s="3">
        <v>187</v>
      </c>
      <c r="G554" s="3">
        <v>89</v>
      </c>
      <c r="H554" s="3">
        <v>0.76739926739926745</v>
      </c>
      <c r="I554" s="3">
        <v>0.44630071599045351</v>
      </c>
      <c r="J554" s="3">
        <v>0.47593582887700542</v>
      </c>
      <c r="K554" s="3">
        <v>0.16300366300366301</v>
      </c>
    </row>
    <row r="555" spans="1:11" x14ac:dyDescent="0.25">
      <c r="A555" s="2">
        <v>45824.176961602658</v>
      </c>
      <c r="B555" s="3" t="s">
        <v>15</v>
      </c>
      <c r="C555" s="3" t="s">
        <v>18</v>
      </c>
      <c r="D555" s="3">
        <v>424</v>
      </c>
      <c r="E555" s="3">
        <v>257</v>
      </c>
      <c r="F555" s="3">
        <v>53</v>
      </c>
      <c r="G555" s="3">
        <v>29</v>
      </c>
      <c r="H555" s="3">
        <v>0.60613207547169812</v>
      </c>
      <c r="I555" s="3">
        <v>0.2062256809338521</v>
      </c>
      <c r="J555" s="3">
        <v>0.54716981132075471</v>
      </c>
      <c r="K555" s="3">
        <v>6.8396226415094338E-2</v>
      </c>
    </row>
    <row r="556" spans="1:11" x14ac:dyDescent="0.25">
      <c r="A556" s="2">
        <v>45824.477462437382</v>
      </c>
      <c r="B556" s="3" t="s">
        <v>17</v>
      </c>
      <c r="C556" s="3" t="s">
        <v>18</v>
      </c>
      <c r="D556" s="3">
        <v>461</v>
      </c>
      <c r="E556" s="3">
        <v>283</v>
      </c>
      <c r="F556" s="3">
        <v>102</v>
      </c>
      <c r="G556" s="3">
        <v>35</v>
      </c>
      <c r="H556" s="3">
        <v>0.61388286334056397</v>
      </c>
      <c r="I556" s="3">
        <v>0.36042402826855119</v>
      </c>
      <c r="J556" s="3">
        <v>0.34313725490196079</v>
      </c>
      <c r="K556" s="3">
        <v>7.5921908893709325E-2</v>
      </c>
    </row>
    <row r="557" spans="1:11" x14ac:dyDescent="0.25">
      <c r="A557" s="2">
        <v>45824.777963272121</v>
      </c>
      <c r="B557" s="3" t="s">
        <v>11</v>
      </c>
      <c r="C557" s="3" t="s">
        <v>18</v>
      </c>
      <c r="D557" s="3">
        <v>332</v>
      </c>
      <c r="E557" s="3">
        <v>254</v>
      </c>
      <c r="F557" s="3">
        <v>92</v>
      </c>
      <c r="G557" s="3">
        <v>36</v>
      </c>
      <c r="H557" s="3">
        <v>0.76506024096385539</v>
      </c>
      <c r="I557" s="3">
        <v>0.36220472440944879</v>
      </c>
      <c r="J557" s="3">
        <v>0.39130434782608697</v>
      </c>
      <c r="K557" s="3">
        <v>0.108433734939759</v>
      </c>
    </row>
    <row r="558" spans="1:11" x14ac:dyDescent="0.25">
      <c r="A558" s="2">
        <v>45825.078464106839</v>
      </c>
      <c r="B558" s="3" t="s">
        <v>16</v>
      </c>
      <c r="C558" s="3" t="s">
        <v>12</v>
      </c>
      <c r="D558" s="3">
        <v>135</v>
      </c>
      <c r="E558" s="3">
        <v>88</v>
      </c>
      <c r="F558" s="3">
        <v>38</v>
      </c>
      <c r="G558" s="3">
        <v>12</v>
      </c>
      <c r="H558" s="3">
        <v>0.6518518518518519</v>
      </c>
      <c r="I558" s="3">
        <v>0.43181818181818182</v>
      </c>
      <c r="J558" s="3">
        <v>0.31578947368421051</v>
      </c>
      <c r="K558" s="3">
        <v>8.8888888888888892E-2</v>
      </c>
    </row>
    <row r="559" spans="1:11" x14ac:dyDescent="0.25">
      <c r="A559" s="2">
        <v>45825.378964941563</v>
      </c>
      <c r="B559" s="3" t="s">
        <v>16</v>
      </c>
      <c r="C559" s="3" t="s">
        <v>18</v>
      </c>
      <c r="D559" s="3">
        <v>542</v>
      </c>
      <c r="E559" s="3">
        <v>335</v>
      </c>
      <c r="F559" s="3">
        <v>130</v>
      </c>
      <c r="G559" s="3">
        <v>73</v>
      </c>
      <c r="H559" s="3">
        <v>0.61808118081180807</v>
      </c>
      <c r="I559" s="3">
        <v>0.38805970149253732</v>
      </c>
      <c r="J559" s="3">
        <v>0.56153846153846154</v>
      </c>
      <c r="K559" s="3">
        <v>0.13468634686346859</v>
      </c>
    </row>
    <row r="560" spans="1:11" x14ac:dyDescent="0.25">
      <c r="A560" s="2">
        <v>45825.679465776288</v>
      </c>
      <c r="B560" s="3" t="s">
        <v>14</v>
      </c>
      <c r="C560" s="3" t="s">
        <v>18</v>
      </c>
      <c r="D560" s="3">
        <v>536</v>
      </c>
      <c r="E560" s="3">
        <v>334</v>
      </c>
      <c r="F560" s="3">
        <v>125</v>
      </c>
      <c r="G560" s="3">
        <v>81</v>
      </c>
      <c r="H560" s="3">
        <v>0.62313432835820892</v>
      </c>
      <c r="I560" s="3">
        <v>0.37425149700598798</v>
      </c>
      <c r="J560" s="3">
        <v>0.64800000000000002</v>
      </c>
      <c r="K560" s="3">
        <v>0.15111940298507459</v>
      </c>
    </row>
    <row r="561" spans="1:11" x14ac:dyDescent="0.25">
      <c r="A561" s="2">
        <v>45825.979966610998</v>
      </c>
      <c r="B561" s="3" t="s">
        <v>15</v>
      </c>
      <c r="C561" s="3" t="s">
        <v>12</v>
      </c>
      <c r="D561" s="3">
        <v>162</v>
      </c>
      <c r="E561" s="3">
        <v>98</v>
      </c>
      <c r="F561" s="3">
        <v>19</v>
      </c>
      <c r="G561" s="3">
        <v>8</v>
      </c>
      <c r="H561" s="3">
        <v>0.60493827160493829</v>
      </c>
      <c r="I561" s="3">
        <v>0.19387755102040821</v>
      </c>
      <c r="J561" s="3">
        <v>0.42105263157894729</v>
      </c>
      <c r="K561" s="3">
        <v>4.9382716049382713E-2</v>
      </c>
    </row>
    <row r="562" spans="1:11" x14ac:dyDescent="0.25">
      <c r="A562" s="2">
        <v>45826.280467445737</v>
      </c>
      <c r="B562" s="3" t="s">
        <v>14</v>
      </c>
      <c r="C562" s="3" t="s">
        <v>18</v>
      </c>
      <c r="D562" s="3">
        <v>178</v>
      </c>
      <c r="E562" s="3">
        <v>143</v>
      </c>
      <c r="F562" s="3">
        <v>41</v>
      </c>
      <c r="G562" s="3">
        <v>21</v>
      </c>
      <c r="H562" s="3">
        <v>0.8033707865168539</v>
      </c>
      <c r="I562" s="3">
        <v>0.28671328671328672</v>
      </c>
      <c r="J562" s="3">
        <v>0.51219512195121952</v>
      </c>
      <c r="K562" s="3">
        <v>0.1179775280898876</v>
      </c>
    </row>
    <row r="563" spans="1:11" x14ac:dyDescent="0.25">
      <c r="A563" s="2">
        <v>45826.580968280461</v>
      </c>
      <c r="B563" s="3" t="s">
        <v>16</v>
      </c>
      <c r="C563" s="3" t="s">
        <v>12</v>
      </c>
      <c r="D563" s="3">
        <v>228</v>
      </c>
      <c r="E563" s="3">
        <v>165</v>
      </c>
      <c r="F563" s="3">
        <v>42</v>
      </c>
      <c r="G563" s="3">
        <v>13</v>
      </c>
      <c r="H563" s="3">
        <v>0.72368421052631582</v>
      </c>
      <c r="I563" s="3">
        <v>0.25454545454545452</v>
      </c>
      <c r="J563" s="3">
        <v>0.30952380952380948</v>
      </c>
      <c r="K563" s="3">
        <v>5.701754385964912E-2</v>
      </c>
    </row>
    <row r="564" spans="1:11" x14ac:dyDescent="0.25">
      <c r="A564" s="2">
        <v>45826.881469115193</v>
      </c>
      <c r="B564" s="3" t="s">
        <v>16</v>
      </c>
      <c r="C564" s="3" t="s">
        <v>12</v>
      </c>
      <c r="D564" s="3">
        <v>408</v>
      </c>
      <c r="E564" s="3">
        <v>235</v>
      </c>
      <c r="F564" s="3">
        <v>48</v>
      </c>
      <c r="G564" s="3">
        <v>18</v>
      </c>
      <c r="H564" s="3">
        <v>0.5759803921568627</v>
      </c>
      <c r="I564" s="3">
        <v>0.20425531914893619</v>
      </c>
      <c r="J564" s="3">
        <v>0.375</v>
      </c>
      <c r="K564" s="3">
        <v>4.4117647058823532E-2</v>
      </c>
    </row>
    <row r="565" spans="1:11" x14ac:dyDescent="0.25">
      <c r="A565" s="2">
        <v>45827.18196994991</v>
      </c>
      <c r="B565" s="3" t="s">
        <v>16</v>
      </c>
      <c r="C565" s="3" t="s">
        <v>18</v>
      </c>
      <c r="D565" s="3">
        <v>235</v>
      </c>
      <c r="E565" s="3">
        <v>176</v>
      </c>
      <c r="F565" s="3">
        <v>62</v>
      </c>
      <c r="G565" s="3">
        <v>30</v>
      </c>
      <c r="H565" s="3">
        <v>0.74893617021276593</v>
      </c>
      <c r="I565" s="3">
        <v>0.35227272727272729</v>
      </c>
      <c r="J565" s="3">
        <v>0.4838709677419355</v>
      </c>
      <c r="K565" s="3">
        <v>0.1276595744680851</v>
      </c>
    </row>
    <row r="566" spans="1:11" x14ac:dyDescent="0.25">
      <c r="A566" s="2">
        <v>45827.482470784627</v>
      </c>
      <c r="B566" s="3" t="s">
        <v>11</v>
      </c>
      <c r="C566" s="3" t="s">
        <v>12</v>
      </c>
      <c r="D566" s="3">
        <v>269</v>
      </c>
      <c r="E566" s="3">
        <v>187</v>
      </c>
      <c r="F566" s="3">
        <v>34</v>
      </c>
      <c r="G566" s="3">
        <v>13</v>
      </c>
      <c r="H566" s="3">
        <v>0.69516728624535318</v>
      </c>
      <c r="I566" s="3">
        <v>0.1818181818181818</v>
      </c>
      <c r="J566" s="3">
        <v>0.38235294117647062</v>
      </c>
      <c r="K566" s="3">
        <v>4.8327137546468397E-2</v>
      </c>
    </row>
    <row r="567" spans="1:11" x14ac:dyDescent="0.25">
      <c r="A567" s="2">
        <v>45827.782971619366</v>
      </c>
      <c r="B567" s="3" t="s">
        <v>15</v>
      </c>
      <c r="C567" s="3" t="s">
        <v>18</v>
      </c>
      <c r="D567" s="3">
        <v>573</v>
      </c>
      <c r="E567" s="3">
        <v>461</v>
      </c>
      <c r="F567" s="3">
        <v>181</v>
      </c>
      <c r="G567" s="3">
        <v>60</v>
      </c>
      <c r="H567" s="3">
        <v>0.8045375218150087</v>
      </c>
      <c r="I567" s="3">
        <v>0.3926247288503254</v>
      </c>
      <c r="J567" s="3">
        <v>0.33149171270718231</v>
      </c>
      <c r="K567" s="3">
        <v>0.10471204188481679</v>
      </c>
    </row>
    <row r="568" spans="1:11" x14ac:dyDescent="0.25">
      <c r="A568" s="2">
        <v>45828.083472454076</v>
      </c>
      <c r="B568" s="3" t="s">
        <v>11</v>
      </c>
      <c r="C568" s="3" t="s">
        <v>18</v>
      </c>
      <c r="D568" s="3">
        <v>342</v>
      </c>
      <c r="E568" s="3">
        <v>255</v>
      </c>
      <c r="F568" s="3">
        <v>93</v>
      </c>
      <c r="G568" s="3">
        <v>42</v>
      </c>
      <c r="H568" s="3">
        <v>0.74561403508771928</v>
      </c>
      <c r="I568" s="3">
        <v>0.36470588235294121</v>
      </c>
      <c r="J568" s="3">
        <v>0.45161290322580638</v>
      </c>
      <c r="K568" s="3">
        <v>0.1228070175438596</v>
      </c>
    </row>
    <row r="569" spans="1:11" x14ac:dyDescent="0.25">
      <c r="A569" s="2">
        <v>45828.383973288808</v>
      </c>
      <c r="B569" s="3" t="s">
        <v>11</v>
      </c>
      <c r="C569" s="3" t="s">
        <v>12</v>
      </c>
      <c r="D569" s="3">
        <v>159</v>
      </c>
      <c r="E569" s="3">
        <v>103</v>
      </c>
      <c r="F569" s="3">
        <v>24</v>
      </c>
      <c r="G569" s="3">
        <v>7</v>
      </c>
      <c r="H569" s="3">
        <v>0.64779874213836475</v>
      </c>
      <c r="I569" s="3">
        <v>0.23300970873786411</v>
      </c>
      <c r="J569" s="3">
        <v>0.29166666666666669</v>
      </c>
      <c r="K569" s="3">
        <v>4.40251572327044E-2</v>
      </c>
    </row>
    <row r="570" spans="1:11" x14ac:dyDescent="0.25">
      <c r="A570" s="2">
        <v>45828.684474123533</v>
      </c>
      <c r="B570" s="3" t="s">
        <v>17</v>
      </c>
      <c r="C570" s="3" t="s">
        <v>12</v>
      </c>
      <c r="D570" s="3">
        <v>479</v>
      </c>
      <c r="E570" s="3">
        <v>248</v>
      </c>
      <c r="F570" s="3">
        <v>38</v>
      </c>
      <c r="G570" s="3">
        <v>13</v>
      </c>
      <c r="H570" s="3">
        <v>0.51774530271398744</v>
      </c>
      <c r="I570" s="3">
        <v>0.15322580645161291</v>
      </c>
      <c r="J570" s="3">
        <v>0.34210526315789469</v>
      </c>
      <c r="K570" s="3">
        <v>2.7139874739039671E-2</v>
      </c>
    </row>
    <row r="571" spans="1:11" x14ac:dyDescent="0.25">
      <c r="A571" s="2">
        <v>45828.98497495825</v>
      </c>
      <c r="B571" s="3" t="s">
        <v>11</v>
      </c>
      <c r="C571" s="3" t="s">
        <v>12</v>
      </c>
      <c r="D571" s="3">
        <v>339</v>
      </c>
      <c r="E571" s="3">
        <v>258</v>
      </c>
      <c r="F571" s="3">
        <v>65</v>
      </c>
      <c r="G571" s="3">
        <v>35</v>
      </c>
      <c r="H571" s="3">
        <v>0.76106194690265483</v>
      </c>
      <c r="I571" s="3">
        <v>0.25193798449612398</v>
      </c>
      <c r="J571" s="3">
        <v>0.53846153846153844</v>
      </c>
      <c r="K571" s="3">
        <v>0.10324483775811211</v>
      </c>
    </row>
    <row r="572" spans="1:11" x14ac:dyDescent="0.25">
      <c r="A572" s="2">
        <v>45829.285475792989</v>
      </c>
      <c r="B572" s="3" t="s">
        <v>15</v>
      </c>
      <c r="C572" s="3" t="s">
        <v>18</v>
      </c>
      <c r="D572" s="3">
        <v>631</v>
      </c>
      <c r="E572" s="3">
        <v>498</v>
      </c>
      <c r="F572" s="3">
        <v>176</v>
      </c>
      <c r="G572" s="3">
        <v>111</v>
      </c>
      <c r="H572" s="3">
        <v>0.78922345483359746</v>
      </c>
      <c r="I572" s="3">
        <v>0.3534136546184739</v>
      </c>
      <c r="J572" s="3">
        <v>0.63068181818181823</v>
      </c>
      <c r="K572" s="3">
        <v>0.17591125198098259</v>
      </c>
    </row>
    <row r="573" spans="1:11" x14ac:dyDescent="0.25">
      <c r="A573" s="2">
        <v>45829.585976627714</v>
      </c>
      <c r="B573" s="3" t="s">
        <v>17</v>
      </c>
      <c r="C573" s="3" t="s">
        <v>19</v>
      </c>
      <c r="D573" s="3">
        <v>180</v>
      </c>
      <c r="E573" s="3">
        <v>133</v>
      </c>
      <c r="F573" s="3">
        <v>26</v>
      </c>
      <c r="G573" s="3">
        <v>6</v>
      </c>
      <c r="H573" s="3">
        <v>0.73888888888888893</v>
      </c>
      <c r="I573" s="3">
        <v>0.1954887218045113</v>
      </c>
      <c r="J573" s="3">
        <v>0.23076923076923081</v>
      </c>
      <c r="K573" s="3">
        <v>3.3333333333333333E-2</v>
      </c>
    </row>
    <row r="574" spans="1:11" x14ac:dyDescent="0.25">
      <c r="A574" s="2">
        <v>45829.886477462431</v>
      </c>
      <c r="B574" s="3" t="s">
        <v>11</v>
      </c>
      <c r="C574" s="3" t="s">
        <v>18</v>
      </c>
      <c r="D574" s="3">
        <v>438</v>
      </c>
      <c r="E574" s="3">
        <v>289</v>
      </c>
      <c r="F574" s="3">
        <v>70</v>
      </c>
      <c r="G574" s="3">
        <v>31</v>
      </c>
      <c r="H574" s="3">
        <v>0.65981735159817356</v>
      </c>
      <c r="I574" s="3">
        <v>0.24221453287197231</v>
      </c>
      <c r="J574" s="3">
        <v>0.44285714285714278</v>
      </c>
      <c r="K574" s="3">
        <v>7.0776255707762553E-2</v>
      </c>
    </row>
    <row r="575" spans="1:11" x14ac:dyDescent="0.25">
      <c r="A575" s="2">
        <v>45830.186978297163</v>
      </c>
      <c r="B575" s="3" t="s">
        <v>15</v>
      </c>
      <c r="C575" s="3" t="s">
        <v>12</v>
      </c>
      <c r="D575" s="3">
        <v>459</v>
      </c>
      <c r="E575" s="3">
        <v>266</v>
      </c>
      <c r="F575" s="3">
        <v>70</v>
      </c>
      <c r="G575" s="3">
        <v>27</v>
      </c>
      <c r="H575" s="3">
        <v>0.579520697167756</v>
      </c>
      <c r="I575" s="3">
        <v>0.26315789473684209</v>
      </c>
      <c r="J575" s="3">
        <v>0.38571428571428568</v>
      </c>
      <c r="K575" s="3">
        <v>5.8823529411764712E-2</v>
      </c>
    </row>
    <row r="576" spans="1:11" x14ac:dyDescent="0.25">
      <c r="A576" s="2">
        <v>45830.487479131873</v>
      </c>
      <c r="B576" s="3" t="s">
        <v>17</v>
      </c>
      <c r="C576" s="3" t="s">
        <v>18</v>
      </c>
      <c r="D576" s="3">
        <v>300</v>
      </c>
      <c r="E576" s="3">
        <v>239</v>
      </c>
      <c r="F576" s="3">
        <v>80</v>
      </c>
      <c r="G576" s="3">
        <v>39</v>
      </c>
      <c r="H576" s="3">
        <v>0.79666666666666663</v>
      </c>
      <c r="I576" s="3">
        <v>0.33472803347280328</v>
      </c>
      <c r="J576" s="3">
        <v>0.48749999999999999</v>
      </c>
      <c r="K576" s="3">
        <v>0.13</v>
      </c>
    </row>
    <row r="577" spans="1:11" x14ac:dyDescent="0.25">
      <c r="A577" s="2">
        <v>45830.787979966612</v>
      </c>
      <c r="B577" s="3" t="s">
        <v>13</v>
      </c>
      <c r="C577" s="3" t="s">
        <v>12</v>
      </c>
      <c r="D577" s="3">
        <v>499</v>
      </c>
      <c r="E577" s="3">
        <v>324</v>
      </c>
      <c r="F577" s="3">
        <v>91</v>
      </c>
      <c r="G577" s="3">
        <v>42</v>
      </c>
      <c r="H577" s="3">
        <v>0.64929859719438876</v>
      </c>
      <c r="I577" s="3">
        <v>0.28086419753086422</v>
      </c>
      <c r="J577" s="3">
        <v>0.46153846153846162</v>
      </c>
      <c r="K577" s="3">
        <v>8.4168336673346694E-2</v>
      </c>
    </row>
    <row r="578" spans="1:11" x14ac:dyDescent="0.25">
      <c r="A578" s="2">
        <v>45831.088480801329</v>
      </c>
      <c r="B578" s="3" t="s">
        <v>16</v>
      </c>
      <c r="C578" s="3" t="s">
        <v>18</v>
      </c>
      <c r="D578" s="3">
        <v>203</v>
      </c>
      <c r="E578" s="3">
        <v>148</v>
      </c>
      <c r="F578" s="3">
        <v>35</v>
      </c>
      <c r="G578" s="3">
        <v>20</v>
      </c>
      <c r="H578" s="3">
        <v>0.72906403940886699</v>
      </c>
      <c r="I578" s="3">
        <v>0.23648648648648651</v>
      </c>
      <c r="J578" s="3">
        <v>0.5714285714285714</v>
      </c>
      <c r="K578" s="3">
        <v>9.8522167487684734E-2</v>
      </c>
    </row>
    <row r="579" spans="1:11" x14ac:dyDescent="0.25">
      <c r="A579" s="2">
        <v>45831.388981636053</v>
      </c>
      <c r="B579" s="3" t="s">
        <v>13</v>
      </c>
      <c r="C579" s="3" t="s">
        <v>12</v>
      </c>
      <c r="D579" s="3">
        <v>501</v>
      </c>
      <c r="E579" s="3">
        <v>300</v>
      </c>
      <c r="F579" s="3">
        <v>111</v>
      </c>
      <c r="G579" s="3">
        <v>55</v>
      </c>
      <c r="H579" s="3">
        <v>0.59880239520958078</v>
      </c>
      <c r="I579" s="3">
        <v>0.37</v>
      </c>
      <c r="J579" s="3">
        <v>0.49549549549549549</v>
      </c>
      <c r="K579" s="3">
        <v>0.1097804391217565</v>
      </c>
    </row>
    <row r="580" spans="1:11" x14ac:dyDescent="0.25">
      <c r="A580" s="2">
        <v>45831.689482470778</v>
      </c>
      <c r="B580" s="3" t="s">
        <v>15</v>
      </c>
      <c r="C580" s="3" t="s">
        <v>18</v>
      </c>
      <c r="D580" s="3">
        <v>310</v>
      </c>
      <c r="E580" s="3">
        <v>195</v>
      </c>
      <c r="F580" s="3">
        <v>40</v>
      </c>
      <c r="G580" s="3">
        <v>14</v>
      </c>
      <c r="H580" s="3">
        <v>0.62903225806451613</v>
      </c>
      <c r="I580" s="3">
        <v>0.20512820512820509</v>
      </c>
      <c r="J580" s="3">
        <v>0.35</v>
      </c>
      <c r="K580" s="3">
        <v>4.5161290322580643E-2</v>
      </c>
    </row>
    <row r="581" spans="1:11" x14ac:dyDescent="0.25">
      <c r="A581" s="2">
        <v>45831.989983305502</v>
      </c>
      <c r="B581" s="3" t="s">
        <v>16</v>
      </c>
      <c r="C581" s="3" t="s">
        <v>12</v>
      </c>
      <c r="D581" s="3">
        <v>142</v>
      </c>
      <c r="E581" s="3">
        <v>105</v>
      </c>
      <c r="F581" s="3">
        <v>37</v>
      </c>
      <c r="G581" s="3">
        <v>15</v>
      </c>
      <c r="H581" s="3">
        <v>0.73943661971830987</v>
      </c>
      <c r="I581" s="3">
        <v>0.35238095238095241</v>
      </c>
      <c r="J581" s="3">
        <v>0.40540540540540537</v>
      </c>
      <c r="K581" s="3">
        <v>0.10563380281690141</v>
      </c>
    </row>
    <row r="582" spans="1:11" x14ac:dyDescent="0.25">
      <c r="A582" s="2">
        <v>45832.290484140227</v>
      </c>
      <c r="B582" s="3" t="s">
        <v>11</v>
      </c>
      <c r="C582" s="3" t="s">
        <v>19</v>
      </c>
      <c r="D582" s="3">
        <v>564</v>
      </c>
      <c r="E582" s="3">
        <v>431</v>
      </c>
      <c r="F582" s="3">
        <v>136</v>
      </c>
      <c r="G582" s="3">
        <v>63</v>
      </c>
      <c r="H582" s="3">
        <v>0.76418439716312059</v>
      </c>
      <c r="I582" s="3">
        <v>0.31554524361948949</v>
      </c>
      <c r="J582" s="3">
        <v>0.46323529411764708</v>
      </c>
      <c r="K582" s="3">
        <v>0.1117021276595745</v>
      </c>
    </row>
    <row r="583" spans="1:11" x14ac:dyDescent="0.25">
      <c r="A583" s="2">
        <v>45832.590984974951</v>
      </c>
      <c r="B583" s="3" t="s">
        <v>13</v>
      </c>
      <c r="C583" s="3" t="s">
        <v>12</v>
      </c>
      <c r="D583" s="3">
        <v>562</v>
      </c>
      <c r="E583" s="3">
        <v>300</v>
      </c>
      <c r="F583" s="3">
        <v>65</v>
      </c>
      <c r="G583" s="3">
        <v>27</v>
      </c>
      <c r="H583" s="3">
        <v>0.53380782918149461</v>
      </c>
      <c r="I583" s="3">
        <v>0.2166666666666667</v>
      </c>
      <c r="J583" s="3">
        <v>0.41538461538461541</v>
      </c>
      <c r="K583" s="3">
        <v>4.8042704626334518E-2</v>
      </c>
    </row>
    <row r="584" spans="1:11" x14ac:dyDescent="0.25">
      <c r="A584" s="2">
        <v>45832.891485809683</v>
      </c>
      <c r="B584" s="3" t="s">
        <v>15</v>
      </c>
      <c r="C584" s="3" t="s">
        <v>18</v>
      </c>
      <c r="D584" s="3">
        <v>598</v>
      </c>
      <c r="E584" s="3">
        <v>460</v>
      </c>
      <c r="F584" s="3">
        <v>132</v>
      </c>
      <c r="G584" s="3">
        <v>39</v>
      </c>
      <c r="H584" s="3">
        <v>0.76923076923076927</v>
      </c>
      <c r="I584" s="3">
        <v>0.28695652173913039</v>
      </c>
      <c r="J584" s="3">
        <v>0.29545454545454553</v>
      </c>
      <c r="K584" s="3">
        <v>6.5217391304347824E-2</v>
      </c>
    </row>
    <row r="585" spans="1:11" x14ac:dyDescent="0.25">
      <c r="A585" s="2">
        <v>45833.1919866444</v>
      </c>
      <c r="B585" s="3" t="s">
        <v>11</v>
      </c>
      <c r="C585" s="3" t="s">
        <v>19</v>
      </c>
      <c r="D585" s="3">
        <v>234</v>
      </c>
      <c r="E585" s="3">
        <v>159</v>
      </c>
      <c r="F585" s="3">
        <v>47</v>
      </c>
      <c r="G585" s="3">
        <v>21</v>
      </c>
      <c r="H585" s="3">
        <v>0.67948717948717952</v>
      </c>
      <c r="I585" s="3">
        <v>0.29559748427672949</v>
      </c>
      <c r="J585" s="3">
        <v>0.44680851063829791</v>
      </c>
      <c r="K585" s="3">
        <v>8.9743589743589744E-2</v>
      </c>
    </row>
    <row r="586" spans="1:11" x14ac:dyDescent="0.25">
      <c r="A586" s="2">
        <v>45833.492487479118</v>
      </c>
      <c r="B586" s="3" t="s">
        <v>15</v>
      </c>
      <c r="C586" s="3" t="s">
        <v>12</v>
      </c>
      <c r="D586" s="3">
        <v>171</v>
      </c>
      <c r="E586" s="3">
        <v>115</v>
      </c>
      <c r="F586" s="3">
        <v>34</v>
      </c>
      <c r="G586" s="3">
        <v>20</v>
      </c>
      <c r="H586" s="3">
        <v>0.67251461988304095</v>
      </c>
      <c r="I586" s="3">
        <v>0.29565217391304349</v>
      </c>
      <c r="J586" s="3">
        <v>0.58823529411764708</v>
      </c>
      <c r="K586" s="3">
        <v>0.1169590643274854</v>
      </c>
    </row>
    <row r="587" spans="1:11" x14ac:dyDescent="0.25">
      <c r="A587" s="2">
        <v>45833.792988313857</v>
      </c>
      <c r="B587" s="3" t="s">
        <v>16</v>
      </c>
      <c r="C587" s="3" t="s">
        <v>19</v>
      </c>
      <c r="D587" s="3">
        <v>605</v>
      </c>
      <c r="E587" s="3">
        <v>356</v>
      </c>
      <c r="F587" s="3">
        <v>69</v>
      </c>
      <c r="G587" s="3">
        <v>35</v>
      </c>
      <c r="H587" s="3">
        <v>0.5884297520661157</v>
      </c>
      <c r="I587" s="3">
        <v>0.1938202247191011</v>
      </c>
      <c r="J587" s="3">
        <v>0.50724637681159424</v>
      </c>
      <c r="K587" s="3">
        <v>5.7851239669421489E-2</v>
      </c>
    </row>
    <row r="588" spans="1:11" x14ac:dyDescent="0.25">
      <c r="A588" s="2">
        <v>45834.093489148567</v>
      </c>
      <c r="B588" s="3" t="s">
        <v>16</v>
      </c>
      <c r="C588" s="3" t="s">
        <v>18</v>
      </c>
      <c r="D588" s="3">
        <v>534</v>
      </c>
      <c r="E588" s="3">
        <v>349</v>
      </c>
      <c r="F588" s="3">
        <v>152</v>
      </c>
      <c r="G588" s="3">
        <v>93</v>
      </c>
      <c r="H588" s="3">
        <v>0.65355805243445697</v>
      </c>
      <c r="I588" s="3">
        <v>0.4355300859598854</v>
      </c>
      <c r="J588" s="3">
        <v>0.61184210526315785</v>
      </c>
      <c r="K588" s="3">
        <v>0.1741573033707865</v>
      </c>
    </row>
    <row r="589" spans="1:11" x14ac:dyDescent="0.25">
      <c r="A589" s="2">
        <v>45834.393989983299</v>
      </c>
      <c r="B589" s="3" t="s">
        <v>16</v>
      </c>
      <c r="C589" s="3" t="s">
        <v>12</v>
      </c>
      <c r="D589" s="3">
        <v>589</v>
      </c>
      <c r="E589" s="3">
        <v>376</v>
      </c>
      <c r="F589" s="3">
        <v>144</v>
      </c>
      <c r="G589" s="3">
        <v>70</v>
      </c>
      <c r="H589" s="3">
        <v>0.63837011884550088</v>
      </c>
      <c r="I589" s="3">
        <v>0.38297872340425532</v>
      </c>
      <c r="J589" s="3">
        <v>0.4861111111111111</v>
      </c>
      <c r="K589" s="3">
        <v>0.1188455008488964</v>
      </c>
    </row>
    <row r="590" spans="1:11" x14ac:dyDescent="0.25">
      <c r="A590" s="2">
        <v>45834.694490818023</v>
      </c>
      <c r="B590" s="3" t="s">
        <v>16</v>
      </c>
      <c r="C590" s="3" t="s">
        <v>12</v>
      </c>
      <c r="D590" s="3">
        <v>262</v>
      </c>
      <c r="E590" s="3">
        <v>188</v>
      </c>
      <c r="F590" s="3">
        <v>72</v>
      </c>
      <c r="G590" s="3">
        <v>23</v>
      </c>
      <c r="H590" s="3">
        <v>0.71755725190839692</v>
      </c>
      <c r="I590" s="3">
        <v>0.38297872340425532</v>
      </c>
      <c r="J590" s="3">
        <v>0.31944444444444442</v>
      </c>
      <c r="K590" s="3">
        <v>8.7786259541984726E-2</v>
      </c>
    </row>
    <row r="591" spans="1:11" x14ac:dyDescent="0.25">
      <c r="A591" s="2">
        <v>45834.99499165274</v>
      </c>
      <c r="B591" s="3" t="s">
        <v>16</v>
      </c>
      <c r="C591" s="3" t="s">
        <v>18</v>
      </c>
      <c r="D591" s="3">
        <v>465</v>
      </c>
      <c r="E591" s="3">
        <v>351</v>
      </c>
      <c r="F591" s="3">
        <v>168</v>
      </c>
      <c r="G591" s="3">
        <v>84</v>
      </c>
      <c r="H591" s="3">
        <v>0.75483870967741939</v>
      </c>
      <c r="I591" s="3">
        <v>0.47863247863247871</v>
      </c>
      <c r="J591" s="3">
        <v>0.5</v>
      </c>
      <c r="K591" s="3">
        <v>0.1806451612903226</v>
      </c>
    </row>
    <row r="592" spans="1:11" x14ac:dyDescent="0.25">
      <c r="A592" s="2">
        <v>45835.295492487479</v>
      </c>
      <c r="B592" s="3" t="s">
        <v>16</v>
      </c>
      <c r="C592" s="3" t="s">
        <v>12</v>
      </c>
      <c r="D592" s="3">
        <v>484</v>
      </c>
      <c r="E592" s="3">
        <v>326</v>
      </c>
      <c r="F592" s="3">
        <v>106</v>
      </c>
      <c r="G592" s="3">
        <v>64</v>
      </c>
      <c r="H592" s="3">
        <v>0.67355371900826444</v>
      </c>
      <c r="I592" s="3">
        <v>0.32515337423312879</v>
      </c>
      <c r="J592" s="3">
        <v>0.60377358490566035</v>
      </c>
      <c r="K592" s="3">
        <v>0.13223140495867769</v>
      </c>
    </row>
    <row r="593" spans="1:11" x14ac:dyDescent="0.25">
      <c r="A593" s="2">
        <v>45835.595993322197</v>
      </c>
      <c r="B593" s="3" t="s">
        <v>14</v>
      </c>
      <c r="C593" s="3" t="s">
        <v>18</v>
      </c>
      <c r="D593" s="3">
        <v>325</v>
      </c>
      <c r="E593" s="3">
        <v>240</v>
      </c>
      <c r="F593" s="3">
        <v>68</v>
      </c>
      <c r="G593" s="3">
        <v>34</v>
      </c>
      <c r="H593" s="3">
        <v>0.7384615384615385</v>
      </c>
      <c r="I593" s="3">
        <v>0.28333333333333333</v>
      </c>
      <c r="J593" s="3">
        <v>0.5</v>
      </c>
      <c r="K593" s="3">
        <v>0.1046153846153846</v>
      </c>
    </row>
    <row r="594" spans="1:11" x14ac:dyDescent="0.25">
      <c r="A594" s="2">
        <v>45835.896494156921</v>
      </c>
      <c r="B594" s="3" t="s">
        <v>16</v>
      </c>
      <c r="C594" s="3" t="s">
        <v>12</v>
      </c>
      <c r="D594" s="3">
        <v>550</v>
      </c>
      <c r="E594" s="3">
        <v>394</v>
      </c>
      <c r="F594" s="3">
        <v>92</v>
      </c>
      <c r="G594" s="3">
        <v>54</v>
      </c>
      <c r="H594" s="3">
        <v>0.71636363636363631</v>
      </c>
      <c r="I594" s="3">
        <v>0.233502538071066</v>
      </c>
      <c r="J594" s="3">
        <v>0.58695652173913049</v>
      </c>
      <c r="K594" s="3">
        <v>9.8181818181818176E-2</v>
      </c>
    </row>
    <row r="595" spans="1:11" x14ac:dyDescent="0.25">
      <c r="A595" s="2">
        <v>45836.196994991653</v>
      </c>
      <c r="B595" s="3" t="s">
        <v>11</v>
      </c>
      <c r="C595" s="3" t="s">
        <v>18</v>
      </c>
      <c r="D595" s="3">
        <v>502</v>
      </c>
      <c r="E595" s="3">
        <v>368</v>
      </c>
      <c r="F595" s="3">
        <v>135</v>
      </c>
      <c r="G595" s="3">
        <v>38</v>
      </c>
      <c r="H595" s="3">
        <v>0.73306772908366535</v>
      </c>
      <c r="I595" s="3">
        <v>0.36684782608695649</v>
      </c>
      <c r="J595" s="3">
        <v>0.2814814814814815</v>
      </c>
      <c r="K595" s="3">
        <v>7.5697211155378488E-2</v>
      </c>
    </row>
    <row r="596" spans="1:11" x14ac:dyDescent="0.25">
      <c r="A596" s="2">
        <v>45836.497495826363</v>
      </c>
      <c r="B596" s="3" t="s">
        <v>17</v>
      </c>
      <c r="C596" s="3" t="s">
        <v>12</v>
      </c>
      <c r="D596" s="3">
        <v>144</v>
      </c>
      <c r="E596" s="3">
        <v>102</v>
      </c>
      <c r="F596" s="3">
        <v>47</v>
      </c>
      <c r="G596" s="3">
        <v>21</v>
      </c>
      <c r="H596" s="3">
        <v>0.70833333333333337</v>
      </c>
      <c r="I596" s="3">
        <v>0.46078431372549022</v>
      </c>
      <c r="J596" s="3">
        <v>0.44680851063829791</v>
      </c>
      <c r="K596" s="3">
        <v>0.14583333333333329</v>
      </c>
    </row>
    <row r="597" spans="1:11" x14ac:dyDescent="0.25">
      <c r="A597" s="2">
        <v>45836.797996661102</v>
      </c>
      <c r="B597" s="3" t="s">
        <v>15</v>
      </c>
      <c r="C597" s="3" t="s">
        <v>18</v>
      </c>
      <c r="D597" s="3">
        <v>92</v>
      </c>
      <c r="E597" s="3">
        <v>59</v>
      </c>
      <c r="F597" s="3">
        <v>19</v>
      </c>
      <c r="G597" s="3">
        <v>3</v>
      </c>
      <c r="H597" s="3">
        <v>0.64130434782608692</v>
      </c>
      <c r="I597" s="3">
        <v>0.32203389830508472</v>
      </c>
      <c r="J597" s="3">
        <v>0.15789473684210531</v>
      </c>
      <c r="K597" s="3">
        <v>3.2608695652173912E-2</v>
      </c>
    </row>
    <row r="598" spans="1:11" x14ac:dyDescent="0.25">
      <c r="A598" s="2">
        <v>45837.098497495819</v>
      </c>
      <c r="B598" s="3" t="s">
        <v>14</v>
      </c>
      <c r="C598" s="3" t="s">
        <v>19</v>
      </c>
      <c r="D598" s="3">
        <v>292</v>
      </c>
      <c r="E598" s="3">
        <v>226</v>
      </c>
      <c r="F598" s="3">
        <v>54</v>
      </c>
      <c r="G598" s="3">
        <v>16</v>
      </c>
      <c r="H598" s="3">
        <v>0.77397260273972601</v>
      </c>
      <c r="I598" s="3">
        <v>0.23893805309734509</v>
      </c>
      <c r="J598" s="3">
        <v>0.29629629629629628</v>
      </c>
      <c r="K598" s="3">
        <v>5.4794520547945202E-2</v>
      </c>
    </row>
    <row r="599" spans="1:11" x14ac:dyDescent="0.25">
      <c r="A599" s="2">
        <v>45837.398998330536</v>
      </c>
      <c r="B599" s="3" t="s">
        <v>16</v>
      </c>
      <c r="C599" s="3" t="s">
        <v>19</v>
      </c>
      <c r="D599" s="3">
        <v>321</v>
      </c>
      <c r="E599" s="3">
        <v>220</v>
      </c>
      <c r="F599" s="3">
        <v>77</v>
      </c>
      <c r="G599" s="3">
        <v>22</v>
      </c>
      <c r="H599" s="3">
        <v>0.68535825545171336</v>
      </c>
      <c r="I599" s="3">
        <v>0.35</v>
      </c>
      <c r="J599" s="3">
        <v>0.2857142857142857</v>
      </c>
      <c r="K599" s="3">
        <v>6.8535825545171333E-2</v>
      </c>
    </row>
    <row r="600" spans="1:11" x14ac:dyDescent="0.25">
      <c r="A600" s="2">
        <v>45837.699499165268</v>
      </c>
      <c r="B600" s="3" t="s">
        <v>16</v>
      </c>
      <c r="C600" s="3" t="s">
        <v>18</v>
      </c>
      <c r="D600" s="3">
        <v>572</v>
      </c>
      <c r="E600" s="3">
        <v>329</v>
      </c>
      <c r="F600" s="3">
        <v>65</v>
      </c>
      <c r="G600" s="3">
        <v>26</v>
      </c>
      <c r="H600" s="3">
        <v>0.57517482517482521</v>
      </c>
      <c r="I600" s="3">
        <v>0.19756838905775079</v>
      </c>
      <c r="J600" s="3">
        <v>0.4</v>
      </c>
      <c r="K600" s="3">
        <v>4.5454545454545463E-2</v>
      </c>
    </row>
    <row r="601" spans="1:11" x14ac:dyDescent="0.25">
      <c r="A601" s="2">
        <v>45838</v>
      </c>
      <c r="B601" s="3" t="s">
        <v>16</v>
      </c>
      <c r="C601" s="3" t="s">
        <v>12</v>
      </c>
      <c r="D601" s="3">
        <v>292</v>
      </c>
      <c r="E601" s="3">
        <v>175</v>
      </c>
      <c r="F601" s="3">
        <v>32</v>
      </c>
      <c r="G601" s="3">
        <v>11</v>
      </c>
      <c r="H601" s="3">
        <v>0.59931506849315064</v>
      </c>
      <c r="I601" s="3">
        <v>0.18285714285714291</v>
      </c>
      <c r="J601" s="3">
        <v>0.34375</v>
      </c>
      <c r="K601" s="3">
        <v>3.7671232876712327E-2</v>
      </c>
    </row>
    <row r="602" spans="1:1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pans="1:1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1:1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pans="1:1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spans="1:1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</sheetData>
  <pageMargins left="0.75" right="0.75" top="1" bottom="1" header="0.5" footer="0.5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 x14ac:dyDescent="0.25"/>
  <sheetData>
    <row r="1" spans="1:2" x14ac:dyDescent="0.25">
      <c r="A1" s="1" t="s">
        <v>20</v>
      </c>
      <c r="B1" s="1" t="s">
        <v>21</v>
      </c>
    </row>
    <row r="2" spans="1:2" x14ac:dyDescent="0.25">
      <c r="A2" t="s">
        <v>22</v>
      </c>
      <c r="B2" t="s">
        <v>23</v>
      </c>
    </row>
    <row r="3" spans="1:2" x14ac:dyDescent="0.25">
      <c r="A3" t="s">
        <v>24</v>
      </c>
      <c r="B3" t="s">
        <v>25</v>
      </c>
    </row>
    <row r="4" spans="1:2" x14ac:dyDescent="0.25">
      <c r="A4" t="s">
        <v>5</v>
      </c>
      <c r="B4" t="s">
        <v>26</v>
      </c>
    </row>
    <row r="5" spans="1:2" x14ac:dyDescent="0.25">
      <c r="A5" t="s">
        <v>27</v>
      </c>
      <c r="B5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Raw_Funnel_Data</vt:lpstr>
      <vt:lpstr>Funnel_Definitions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2026-09-23T17:22:28Z</dcterms:created>
  <dcterms:modified xsi:type="dcterms:W3CDTF">2026-09-28T06:29:39Z</dcterms:modified>
</cp:coreProperties>
</file>